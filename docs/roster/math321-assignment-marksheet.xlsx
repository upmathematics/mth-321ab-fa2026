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"/>
    </mc:Choice>
  </mc:AlternateContent>
  <xr:revisionPtr revIDLastSave="0" documentId="13_ncr:1_{197EC35E-1FDA-4CF8-9CC1-E2C448A041EB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6" l="1"/>
  <c r="B7" i="3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s="1"/>
  <c r="I9" i="3" l="1"/>
  <c r="B1" i="6" s="1"/>
  <c r="B2" i="6"/>
  <c r="B4" i="6" l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<sst xmlns="http://schemas.openxmlformats.org/spreadsheetml/2006/main" count="107" uniqueCount="87">
  <si>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</si>
  <si>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</si>
  <si>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</si>
  <si>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</si>
  <si>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</si>
  <si>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</si>
  <si>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</si>
  <si>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</si>
  <si>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</si>
  <si>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</si>
  <si>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</si>
  <si>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</si>
  <si>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</si>
  <si>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</si>
  <si>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</si>
  <si>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</si>
  <si>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</si>
  <si>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</si>
  <si>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</si>
  <si>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</si>
  <si>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</si>
  <si>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</si>
  <si>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</si>
  <si>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</si>
  <si>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</si>
  <si>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</si>
  <si>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</si>
  <si>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</si>
  <si>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</si>
  <si>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</si>
  <si>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</si>
  <si>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</si>
  <si>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</si>
  <si>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</si>
  <si>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</si>
  <si>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</si>
  <si>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</si>
  <si>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</si>
  <si>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</si>
  <si>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</si>
  <si>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</si>
  <si>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</si>
  <si>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</si>
  <si>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</si>
  <si>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</si>
  <si>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</si>
  <si>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</si>
  <si>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</si>
  <si>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</si>
  <si>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</si>
  <si>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</si>
  <si>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</si>
  <si>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</si>
  <si>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</si>
  <si>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</si>
  <si>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</si>
  <si>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</si>
  <si>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</si>
  <si>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</si>
  <si>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</si>
  <si>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</si>
  <si>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</si>
  <si>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</si>
  <si>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</si>
  <si>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</si>
  <si>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</si>
  <si>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</si>
  <si>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</si>
  <si>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</si>
  <si>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</si>
  <si>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</si>
  <si>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</si>
  <si>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FirstName LastInitial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</si>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</sst>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4" t="s">
        <v>29</v>
      </c>
      <c r="B1" s="44"/>
      <c r="C1" s="44"/>
      <c r="D1" s="44"/>
    </row>
    <row r="2" spans="1:4" x14ac:dyDescent="0.25">
      <c r="A2" s="45" t="s">
        <v>72</v>
      </c>
      <c r="B2" s="45"/>
      <c r="C2" s="45"/>
      <c r="D2" s="45"/>
    </row>
    <row r="4" spans="1:4" ht="15.75" thickBot="1" x14ac:dyDescent="0.3">
      <c r="A4" s="27" t="s">
        <v>18</v>
      </c>
      <c r="C4" s="43" t="s">
        <v>23</v>
      </c>
      <c r="D4" s="43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D5" sqref="D5:E5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82</v>
      </c>
      <c r="B1" s="39" t="e">
        <f>Exam!I9</f>
        <v>#DIV/0!</v>
      </c>
      <c r="D1" s="46" t="s">
        <v>17</v>
      </c>
      <c r="E1" s="46"/>
    </row>
    <row r="2" spans="1:5" x14ac:dyDescent="0.25">
      <c r="A2" s="18" t="s">
        <v>78</v>
      </c>
      <c r="B2" s="39" t="e">
        <f>Homework!I9</f>
        <v>#DIV/0!</v>
      </c>
      <c r="D2" s="24" t="s">
        <v>81</v>
      </c>
      <c r="E2" s="21">
        <v>0.6</v>
      </c>
    </row>
    <row r="3" spans="1:5" x14ac:dyDescent="0.25">
      <c r="A3" s="17" t="s">
        <v>77</v>
      </c>
      <c r="B3" s="40" t="e">
        <f>Worksheet!E4</f>
        <v>#DIV/0!</v>
      </c>
      <c r="D3" s="22"/>
      <c r="E3" s="1"/>
    </row>
    <row r="4" spans="1:5" x14ac:dyDescent="0.25">
      <c r="A4" s="23" t="s">
        <v>79</v>
      </c>
      <c r="B4" s="41" t="e">
        <f>B1*(1/1)+B2*(1/2)+B3*(1/3)</f>
        <v>#DIV/0!</v>
      </c>
      <c r="C4" s="2"/>
      <c r="D4" s="46" t="s">
        <v>71</v>
      </c>
      <c r="E4" s="46"/>
    </row>
    <row r="5" spans="1:5" x14ac:dyDescent="0.25">
      <c r="A5" s="23" t="s">
        <v>80</v>
      </c>
      <c r="B5" s="41" t="e">
        <f>B4-E2</f>
        <v>#DIV/0!</v>
      </c>
      <c r="D5" s="47" t="e">
        <f>IF(B4&gt;=1.506,"A-,A",IF(B4&gt;=0.92,"B-,B,B+",IF(B4&gt;=0.677,"C-,C,C+",IF(B4&gt;=0.548,"D-,D,D+","F"))))</f>
        <v>#DIV/0!</v>
      </c>
      <c r="E5" s="48"/>
    </row>
    <row r="7" spans="1:5" x14ac:dyDescent="0.25">
      <c r="A7" s="2" t="s">
        <v>84</v>
      </c>
    </row>
    <row r="8" spans="1:5" x14ac:dyDescent="0.25">
      <c r="A8" s="2" t="s">
        <v>75</v>
      </c>
    </row>
    <row r="9" spans="1:5" x14ac:dyDescent="0.25">
      <c r="A9" s="2" t="s">
        <v>76</v>
      </c>
    </row>
    <row r="10" spans="1:5" x14ac:dyDescent="0.25">
      <c r="A10" s="2" t="s">
        <v>74</v>
      </c>
    </row>
    <row r="11" spans="1:5" x14ac:dyDescent="0.25">
      <c r="A11" s="2" t="s">
        <v>85</v>
      </c>
    </row>
    <row r="12" spans="1:5" x14ac:dyDescent="0.25">
      <c r="A12" s="2" t="s">
        <v>86</v>
      </c>
    </row>
  </sheetData>
  <sheetProtection algorithmName="SHA-512" hashValue="A/KKUm9bUfbtSGXrGUVA77rt8MDd1dQOjhLhTKDXtKy60okbKfEYnzCvUSF3fBqKOU/6eL4hcmFhgU6KHKsBMg==" saltValue="+7rXe04iiBWMxWBQV0lz1A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zoomScale="180" zoomScaleNormal="180" workbookViewId="0">
      <selection activeCell="B12" sqref="B12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/>
      <c r="D2" s="17" t="s">
        <v>16</v>
      </c>
      <c r="E2" s="5">
        <f>SUM(B2:B14,B15:B20,B21:B25,B26:B35,B36:B38)</f>
        <v>0</v>
      </c>
    </row>
    <row r="3" spans="1:5" x14ac:dyDescent="0.25">
      <c r="A3" s="33" t="s">
        <v>35</v>
      </c>
      <c r="B3" s="30"/>
      <c r="D3" s="17" t="s">
        <v>1</v>
      </c>
      <c r="E3" s="5">
        <f>COUNTA(B2:B14,B15:B20,B21:B25,B26:B35,B36:B38)</f>
        <v>0</v>
      </c>
    </row>
    <row r="4" spans="1:5" x14ac:dyDescent="0.25">
      <c r="A4" s="33" t="s">
        <v>36</v>
      </c>
      <c r="B4" s="30"/>
      <c r="D4" s="17" t="s">
        <v>77</v>
      </c>
      <c r="E4" s="20" t="e">
        <f>E2/E3</f>
        <v>#DIV/0!</v>
      </c>
    </row>
    <row r="5" spans="1:5" x14ac:dyDescent="0.25">
      <c r="A5" s="33" t="s">
        <v>37</v>
      </c>
      <c r="B5" s="30"/>
    </row>
    <row r="6" spans="1:5" x14ac:dyDescent="0.25">
      <c r="A6" s="33" t="s">
        <v>38</v>
      </c>
      <c r="B6" s="30"/>
      <c r="D6" s="46" t="s">
        <v>2</v>
      </c>
      <c r="E6" s="46"/>
    </row>
    <row r="7" spans="1:5" x14ac:dyDescent="0.25">
      <c r="A7" s="33" t="s">
        <v>39</v>
      </c>
      <c r="B7" s="30"/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/>
    </row>
    <row r="10" spans="1:5" x14ac:dyDescent="0.25">
      <c r="A10" s="33" t="s">
        <v>42</v>
      </c>
      <c r="B10" s="30"/>
    </row>
    <row r="11" spans="1:5" x14ac:dyDescent="0.25">
      <c r="A11" s="33" t="s">
        <v>43</v>
      </c>
      <c r="B11" s="30"/>
    </row>
    <row r="12" spans="1:5" x14ac:dyDescent="0.25">
      <c r="A12" s="33" t="s">
        <v>44</v>
      </c>
      <c r="B12" s="30"/>
    </row>
    <row r="13" spans="1:5" x14ac:dyDescent="0.25">
      <c r="A13" s="33" t="s">
        <v>45</v>
      </c>
      <c r="B13" s="30"/>
    </row>
    <row r="14" spans="1:5" x14ac:dyDescent="0.25">
      <c r="A14" s="33" t="s">
        <v>46</v>
      </c>
      <c r="B14" s="30"/>
    </row>
    <row r="15" spans="1:5" x14ac:dyDescent="0.25">
      <c r="A15" s="33" t="s">
        <v>47</v>
      </c>
      <c r="B15" s="30"/>
    </row>
    <row r="16" spans="1:5" x14ac:dyDescent="0.25">
      <c r="A16" s="33" t="s">
        <v>48</v>
      </c>
      <c r="B16" s="30"/>
    </row>
    <row r="17" spans="1:2" x14ac:dyDescent="0.25">
      <c r="A17" s="33" t="s">
        <v>49</v>
      </c>
      <c r="B17" s="30"/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/>
    </row>
    <row r="20" spans="1:2" x14ac:dyDescent="0.25">
      <c r="A20" s="33" t="s">
        <v>52</v>
      </c>
      <c r="B20" s="30"/>
    </row>
    <row r="21" spans="1:2" x14ac:dyDescent="0.25">
      <c r="A21" s="33" t="s">
        <v>53</v>
      </c>
      <c r="B21" s="30"/>
    </row>
    <row r="22" spans="1:2" x14ac:dyDescent="0.25">
      <c r="A22" s="33" t="s">
        <v>58</v>
      </c>
      <c r="B22" s="30"/>
    </row>
    <row r="23" spans="1:2" x14ac:dyDescent="0.25">
      <c r="A23" s="33" t="s">
        <v>54</v>
      </c>
      <c r="B23" s="30"/>
    </row>
    <row r="24" spans="1:2" x14ac:dyDescent="0.25">
      <c r="A24" s="33" t="s">
        <v>59</v>
      </c>
      <c r="B24" s="30"/>
    </row>
    <row r="25" spans="1:2" x14ac:dyDescent="0.25">
      <c r="A25" s="33" t="s">
        <v>55</v>
      </c>
      <c r="B25" s="30"/>
    </row>
    <row r="26" spans="1:2" x14ac:dyDescent="0.25">
      <c r="A26" s="33" t="s">
        <v>60</v>
      </c>
      <c r="B26" s="30"/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73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79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 t="e">
        <f>(H3/SUM(H3:H8))*(1/G3)</f>
        <v>#DIV/0!</v>
      </c>
    </row>
    <row r="4" spans="1:9" x14ac:dyDescent="0.25">
      <c r="A4" s="7">
        <v>1</v>
      </c>
      <c r="B4" s="11" t="str">
        <f t="shared" ref="B4:B9" si="0">IF(MIN(C4:D4)=0,"",MIN(C4:D4))</f>
        <v/>
      </c>
      <c r="C4" s="31"/>
      <c r="D4" s="31"/>
      <c r="F4" s="6" t="s">
        <v>8</v>
      </c>
      <c r="G4" s="12">
        <v>2</v>
      </c>
      <c r="H4" s="13">
        <f>COUNTIF(B4:B9,"=2")</f>
        <v>0</v>
      </c>
      <c r="I4" s="16" t="e">
        <f>(H4/SUM(H3:H8))*(1/G4)</f>
        <v>#DIV/0!</v>
      </c>
    </row>
    <row r="5" spans="1:9" x14ac:dyDescent="0.25">
      <c r="A5" s="6">
        <v>2</v>
      </c>
      <c r="B5" s="11" t="str">
        <f t="shared" si="0"/>
        <v/>
      </c>
      <c r="C5" s="31"/>
      <c r="D5" s="31"/>
      <c r="F5" s="6" t="s">
        <v>9</v>
      </c>
      <c r="G5" s="12">
        <v>3</v>
      </c>
      <c r="H5" s="13">
        <f>COUNTIF(B4:B9,"=3")</f>
        <v>0</v>
      </c>
      <c r="I5" s="16" t="e">
        <f>(H5/SUM(H3:H8))*(1/G5)</f>
        <v>#DIV/0!</v>
      </c>
    </row>
    <row r="6" spans="1:9" x14ac:dyDescent="0.25">
      <c r="A6" s="6">
        <v>3</v>
      </c>
      <c r="B6" s="11" t="str">
        <f t="shared" si="0"/>
        <v/>
      </c>
      <c r="C6" s="31"/>
      <c r="D6" s="31"/>
      <c r="F6" s="6" t="s">
        <v>10</v>
      </c>
      <c r="G6" s="12">
        <v>4</v>
      </c>
      <c r="H6" s="13">
        <f>COUNTIF(B4:B9,"=4")</f>
        <v>0</v>
      </c>
      <c r="I6" s="16" t="e">
        <f>(H6/SUM(H3:H8))*(1/G6)</f>
        <v>#DIV/0!</v>
      </c>
    </row>
    <row r="7" spans="1:9" x14ac:dyDescent="0.25">
      <c r="A7" s="6">
        <v>4</v>
      </c>
      <c r="B7" s="11" t="str">
        <f t="shared" si="0"/>
        <v/>
      </c>
      <c r="C7" s="31"/>
      <c r="D7" s="31"/>
      <c r="F7" s="6" t="s">
        <v>11</v>
      </c>
      <c r="G7" s="12">
        <v>5</v>
      </c>
      <c r="H7" s="13">
        <f>COUNTIF(B4:B9,"=5")</f>
        <v>0</v>
      </c>
      <c r="I7" s="16" t="e">
        <f>(H7/SUM(H3:H8))*(1/G7)</f>
        <v>#DIV/0!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 t="e">
        <f>(H8/SUM(H3:H8))*(1/G8)</f>
        <v>#DIV/0!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78</v>
      </c>
      <c r="G9" s="50"/>
      <c r="H9" s="50"/>
      <c r="I9" s="19" t="e">
        <f>SUM(I3:I8)</f>
        <v>#DIV/0!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C4" sqref="C4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83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79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0</v>
      </c>
      <c r="I3" s="36" t="e">
        <f>(H3/SUM(H3:H8))*(1/G3)</f>
        <v>#DIV/0!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 t="e">
        <f>(H4/SUM(H3:H8))*(1/G4)</f>
        <v>#DIV/0!</v>
      </c>
    </row>
    <row r="5" spans="1:9" x14ac:dyDescent="0.25">
      <c r="A5" s="34">
        <v>1</v>
      </c>
      <c r="B5" s="37" t="str">
        <f>IF(MIN(C5:D5)=0,"",MIN(C5:D5))</f>
        <v/>
      </c>
      <c r="C5" s="32"/>
      <c r="D5" s="32"/>
      <c r="F5" s="6" t="s">
        <v>9</v>
      </c>
      <c r="G5" s="12">
        <v>3</v>
      </c>
      <c r="H5" s="13">
        <f>COUNTIF(B4:B8,"=3")</f>
        <v>0</v>
      </c>
      <c r="I5" s="36" t="e">
        <f>(H5/SUM(H3:H8))*(1/G5)</f>
        <v>#DIV/0!</v>
      </c>
    </row>
    <row r="6" spans="1:9" x14ac:dyDescent="0.25">
      <c r="A6" s="34">
        <v>2</v>
      </c>
      <c r="B6" s="37" t="str">
        <f>IF(MIN(C6:D6)=0,"",MIN(C6:D6))</f>
        <v/>
      </c>
      <c r="C6" s="32"/>
      <c r="D6" s="32"/>
      <c r="F6" s="6" t="s">
        <v>10</v>
      </c>
      <c r="G6" s="12">
        <v>4</v>
      </c>
      <c r="H6" s="13">
        <f>COUNTIF(B4:B8,"=4")</f>
        <v>0</v>
      </c>
      <c r="I6" s="36" t="e">
        <f>(H6/SUM(H3:H8))*(1/G6)</f>
        <v>#DIV/0!</v>
      </c>
    </row>
    <row r="7" spans="1:9" x14ac:dyDescent="0.25">
      <c r="A7" s="34">
        <v>3</v>
      </c>
      <c r="B7" s="37" t="str">
        <f t="shared" ref="B7:B8" si="0">IF(MIN(C7:D7)=0,"",MIN(C7:D7))</f>
        <v/>
      </c>
      <c r="C7" s="32"/>
      <c r="D7" s="32"/>
      <c r="F7" s="6" t="s">
        <v>11</v>
      </c>
      <c r="G7" s="12">
        <v>5</v>
      </c>
      <c r="H7" s="13">
        <f>COUNTIF(B4:B8,"=5")</f>
        <v>0</v>
      </c>
      <c r="I7" s="36" t="e">
        <f>(H7/SUM(H3:H8))*(1/G7)</f>
        <v>#DIV/0!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 t="e">
        <f>(H8/SUM(H3:H8))*(1/G8)</f>
        <v>#DIV/0!</v>
      </c>
    </row>
    <row r="9" spans="1:9" x14ac:dyDescent="0.25">
      <c r="F9" s="56" t="s">
        <v>82</v>
      </c>
      <c r="G9" s="57"/>
      <c r="H9" s="57"/>
      <c r="I9" s="38" t="e">
        <f>SUM(I3:I8)</f>
        <v>#DIV/0!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2026-05-01T18:36:22Z</dcterms:modified>
</cp:coreProperties>
</file>