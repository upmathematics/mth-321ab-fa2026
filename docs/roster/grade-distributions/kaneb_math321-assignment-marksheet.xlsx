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7A611964-8A6F-455F-9CC5-BE9B3C269579}" xr6:coauthVersionLast="47" xr6:coauthVersionMax="47" xr10:uidLastSave="{00000000-0000-0000-0000-000000000000}"/>
  <bookViews>
    <workbookView xWindow="-120" yWindow="-120" windowWidth="29040" windowHeight="1584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<sst xmlns="http://schemas.openxmlformats.org/spreadsheetml/2006/main" count="107" uniqueCount="87">
  <si>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</si>
  <si>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</si>
  <si>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</si>
  <si>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</si>
  <si>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</si>
  <si>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</si>
  <si>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</si>
  <si>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</si>
  <si>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</si>
  <si>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</si>
  <si>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</si>
  <si>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</si>
  <si>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</si>
  <si>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</si>
  <si>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</si>
  <si>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</si>
  <si>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</si>
  <si>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</si>
  <si>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</si>
  <si>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</si>
  <si>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</si>
  <si>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</si>
  <si>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</si>
  <si>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</si>
  <si>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</si>
  <si>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</si>
  <si>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</si>
  <si>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</si>
  <si>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</si>
  <si>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</si>
  <si>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</si>
  <si>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</si>
  <si>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</si>
  <si>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</si>
  <si>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</si>
  <si>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</si>
  <si>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</si>
  <si>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</si>
  <si>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</si>
  <si>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</si>
  <si>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</si>
  <si>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</si>
  <si>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</si>
  <si>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</si>
  <si>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</si>
  <si>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</si>
  <si>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</si>
  <si>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</si>
  <si>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</si>
  <si>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</si>
  <si>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</si>
  <si>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</si>
  <si>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</si>
  <si>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</si>
  <si>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</si>
  <si>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</si>
  <si>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</si>
  <si>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</si>
  <si>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</si>
  <si>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</si>
  <si>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</si>
  <si>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</si>
  <si>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</si>
  <si>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</si>
  <si>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</si>
  <si>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</si>
  <si>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</si>
  <si>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</si>
  <si>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</si>
  <si>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</si>
  <si>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</si>
  <si>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</si>
  <si>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</si>
  <si>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</si>
  <si>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</si>
  <si>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</si>
  <si>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</si>
  <si>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</si>
  <si>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</si>
  <si>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</si>
  <si>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</si>
  <si>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</si>
  <si>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</si>
  <si>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</si>
  <si>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</si>
  <si>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</si>
  <si>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Kane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</si>
</sst>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4" t="s">
        <v>29</v>
      </c>
      <c r="B1" s="44"/>
      <c r="C1" s="44"/>
      <c r="D1" s="44"/>
    </row>
    <row r="2" spans="1:4" x14ac:dyDescent="0.25">
      <c r="A2" s="45" t="s">
        <v>86</v>
      </c>
      <c r="B2" s="45"/>
      <c r="C2" s="45"/>
      <c r="D2" s="45"/>
    </row>
    <row r="4" spans="1:4" ht="15.75" thickBot="1" x14ac:dyDescent="0.3">
      <c r="A4" s="27" t="s">
        <v>18</v>
      </c>
      <c r="C4" s="43" t="s">
        <v>23</v>
      </c>
      <c r="D4" s="43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0.3611111111111111</v>
      </c>
      <c r="D1" s="46" t="s">
        <v>17</v>
      </c>
      <c r="E1" s="46"/>
    </row>
    <row r="2" spans="1:5" x14ac:dyDescent="0.25">
      <c r="A2" s="18" t="s">
        <v>77</v>
      </c>
      <c r="B2" s="39">
        <f>Homework!I9</f>
        <v>0.54166666666666663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0.78260869565217395</v>
      </c>
      <c r="D3" s="22"/>
      <c r="E3" s="1"/>
    </row>
    <row r="4" spans="1:5" x14ac:dyDescent="0.25">
      <c r="A4" s="23" t="s">
        <v>78</v>
      </c>
      <c r="B4" s="41">
        <f>B1*(1/1)+B2*(1/2)+B3*(1/3)</f>
        <v>0.89281400966183577</v>
      </c>
      <c r="C4" s="2"/>
      <c r="D4" s="46" t="s">
        <v>71</v>
      </c>
      <c r="E4" s="46"/>
    </row>
    <row r="5" spans="1:5" x14ac:dyDescent="0.25">
      <c r="A5" s="23" t="s">
        <v>79</v>
      </c>
      <c r="B5" s="41">
        <f>B4-E2</f>
        <v>0.29281400966183579</v>
      </c>
      <c r="D5" s="47" t="str">
        <f>IF(B4&gt;=1.506,"A-,A",IF(B4&gt;=0.92,"B-,B,B+",IF(B4&gt;=0.677,"C-,C,C+",IF(B4&gt;=0.548,"D-,D,D+","F"))))</f>
        <v>C-,C,C+</v>
      </c>
      <c r="E5" s="48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10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18</v>
      </c>
    </row>
    <row r="3" spans="1:5" x14ac:dyDescent="0.25">
      <c r="A3" s="33" t="s">
        <v>35</v>
      </c>
      <c r="B3" s="30">
        <v>0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0.78260869565217395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6" t="s">
        <v>2</v>
      </c>
      <c r="E6" s="46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0</v>
      </c>
    </row>
    <row r="15" spans="1:5" x14ac:dyDescent="0.25">
      <c r="A15" s="33" t="s">
        <v>47</v>
      </c>
      <c r="B15" s="30">
        <v>0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0</v>
      </c>
    </row>
    <row r="22" spans="1:2" x14ac:dyDescent="0.25">
      <c r="A22" s="33" t="s">
        <v>58</v>
      </c>
      <c r="B22" s="30">
        <v>0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1</v>
      </c>
      <c r="I3" s="16">
        <f>(H3/SUM(H3:H8))*(1/G3)</f>
        <v>0.25</v>
      </c>
    </row>
    <row r="4" spans="1:9" x14ac:dyDescent="0.25">
      <c r="A4" s="7">
        <v>1</v>
      </c>
      <c r="B4" s="11">
        <f t="shared" ref="B4:B9" si="0">IF(MIN(C4:D4)=0,"",MIN(C4:D4))</f>
        <v>6</v>
      </c>
      <c r="C4" s="31">
        <v>6</v>
      </c>
      <c r="D4" s="31">
        <v>6</v>
      </c>
      <c r="F4" s="6" t="s">
        <v>8</v>
      </c>
      <c r="G4" s="12">
        <v>2</v>
      </c>
      <c r="H4" s="13">
        <f>COUNTIF(B4:B9,"=2")</f>
        <v>2</v>
      </c>
      <c r="I4" s="16">
        <f>(H4/SUM(H3:H8))*(1/G4)</f>
        <v>0.25</v>
      </c>
    </row>
    <row r="5" spans="1:9" x14ac:dyDescent="0.25">
      <c r="A5" s="6">
        <v>2</v>
      </c>
      <c r="B5" s="11">
        <f t="shared" si="0"/>
        <v>2</v>
      </c>
      <c r="C5" s="31">
        <v>2</v>
      </c>
      <c r="D5" s="31">
        <v>2</v>
      </c>
      <c r="F5" s="6" t="s">
        <v>9</v>
      </c>
      <c r="G5" s="12">
        <v>3</v>
      </c>
      <c r="H5" s="13">
        <f>COUNTIF(B4:B9,"=3")</f>
        <v>0</v>
      </c>
      <c r="I5" s="16">
        <f>(H5/SUM(H3:H8))*(1/G5)</f>
        <v>0</v>
      </c>
    </row>
    <row r="6" spans="1:9" x14ac:dyDescent="0.25">
      <c r="A6" s="6">
        <v>3</v>
      </c>
      <c r="B6" s="11">
        <f t="shared" si="0"/>
        <v>2</v>
      </c>
      <c r="C6" s="31">
        <v>2</v>
      </c>
      <c r="D6" s="31">
        <v>6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1</v>
      </c>
      <c r="C7" s="31">
        <v>1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1</v>
      </c>
      <c r="I8" s="16">
        <f>(H8/SUM(H3:H8))*(1/G8)</f>
        <v>4.1666666666666664E-2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0.54166666666666663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0</v>
      </c>
      <c r="I3" s="36">
        <f>(H3/SUM(H3:H8))*(1/G3)</f>
        <v>0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1</v>
      </c>
      <c r="I4" s="36">
        <f>(H4/SUM(H3:H8))*(1/G4)</f>
        <v>0.16666666666666666</v>
      </c>
    </row>
    <row r="5" spans="1:9" x14ac:dyDescent="0.25">
      <c r="A5" s="34">
        <v>1</v>
      </c>
      <c r="B5" s="37">
        <f>IF(MIN(C5:D5)=0,"",MIN(C5:D5))</f>
        <v>3</v>
      </c>
      <c r="C5" s="32">
        <v>3</v>
      </c>
      <c r="D5" s="32">
        <v>6</v>
      </c>
      <c r="F5" s="6" t="s">
        <v>9</v>
      </c>
      <c r="G5" s="12">
        <v>3</v>
      </c>
      <c r="H5" s="13">
        <f>COUNTIF(B4:B8,"=3")</f>
        <v>1</v>
      </c>
      <c r="I5" s="36">
        <f>(H5/SUM(H3:H8))*(1/G5)</f>
        <v>0.1111111111111111</v>
      </c>
    </row>
    <row r="6" spans="1:9" x14ac:dyDescent="0.25">
      <c r="A6" s="34">
        <v>2</v>
      </c>
      <c r="B6" s="37">
        <f>IF(MIN(C6:D6)=0,"",MIN(C6:D6))</f>
        <v>2</v>
      </c>
      <c r="C6" s="32">
        <v>6</v>
      </c>
      <c r="D6" s="32">
        <v>2</v>
      </c>
      <c r="F6" s="6" t="s">
        <v>10</v>
      </c>
      <c r="G6" s="12">
        <v>4</v>
      </c>
      <c r="H6" s="13">
        <f>COUNTIF(B4:B8,"=4")</f>
        <v>1</v>
      </c>
      <c r="I6" s="36">
        <f>(H6/SUM(H3:H8))*(1/G6)</f>
        <v>8.3333333333333329E-2</v>
      </c>
    </row>
    <row r="7" spans="1:9" x14ac:dyDescent="0.25">
      <c r="A7" s="34">
        <v>3</v>
      </c>
      <c r="B7" s="37">
        <f t="shared" ref="B7:B8" si="0">IF(MIN(C7:D7)=0,"",MIN(C7:D7))</f>
        <v>4</v>
      </c>
      <c r="C7" s="32">
        <v>4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0.3611111111111111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2026-05-05T20:54:37Z</dcterms:modified>
</cp:coreProperties>
</file>