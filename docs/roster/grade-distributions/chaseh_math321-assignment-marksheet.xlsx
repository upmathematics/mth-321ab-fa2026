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CA27374F-826C-4AF8-B817-C802A8A1D166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<sst xmlns="http://schemas.openxmlformats.org/spreadsheetml/2006/main" count="107" uniqueCount="87">
  <si>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</si>
  <si>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</si>
  <si>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</si>
  <si>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</si>
  <si>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</si>
  <si>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</si>
  <si>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</si>
  <si>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</si>
  <si>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</si>
  <si>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</si>
  <si>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</si>
  <si>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</si>
  <si>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</si>
  <si>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</si>
  <si>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</si>
  <si>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</si>
  <si>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</si>
  <si>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</si>
  <si>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</si>
  <si>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</si>
  <si>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</si>
  <si>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</si>
  <si>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</si>
  <si>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</si>
  <si>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</si>
  <si>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</si>
  <si>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</si>
  <si>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</si>
  <si>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</si>
  <si>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</si>
  <si>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</si>
  <si>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</si>
  <si>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</si>
  <si>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</si>
  <si>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</si>
  <si>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</si>
  <si>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</si>
  <si>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</si>
  <si>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</si>
  <si>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</si>
  <si>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</si>
  <si>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</si>
  <si>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</si>
  <si>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</si>
  <si>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</si>
  <si>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</si>
  <si>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</si>
  <si>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</si>
  <si>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</si>
  <si>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</si>
  <si>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</si>
  <si>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</si>
  <si>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</si>
  <si>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</si>
  <si>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</si>
  <si>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</si>
  <si>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</si>
  <si>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</si>
  <si>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</si>
  <si>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</si>
  <si>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</si>
  <si>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</si>
  <si>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</si>
  <si>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</si>
  <si>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</si>
  <si>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</si>
  <si>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</si>
  <si>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</si>
  <si>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</si>
  <si>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</si>
  <si>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</si>
  <si>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</si>
  <si>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</si>
  <si>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</si>
  <si>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</si>
  <si>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</si>
  <si>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</si>
  <si>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</si>
  <si>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</si>
  <si>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</si>
  <si>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</si>
  <si>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</si>
  <si>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</si>
  <si>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</si>
  <si>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</si>
  <si>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</si>
  <si>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Chase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</si>
</sst>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50" t="s">
        <v>29</v>
      </c>
      <c r="B1" s="50"/>
      <c r="C1" s="50"/>
      <c r="D1" s="50"/>
    </row>
    <row r="2" spans="1:4" x14ac:dyDescent="0.25">
      <c r="A2" s="51" t="s">
        <v>86</v>
      </c>
      <c r="B2" s="51"/>
      <c r="C2" s="51"/>
      <c r="D2" s="51"/>
    </row>
    <row r="4" spans="1:4" ht="15.75" thickBot="1" x14ac:dyDescent="0.3">
      <c r="A4" s="27" t="s">
        <v>18</v>
      </c>
      <c r="C4" s="49" t="s">
        <v>23</v>
      </c>
      <c r="D4" s="49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52" t="s">
        <v>17</v>
      </c>
      <c r="E1" s="52"/>
    </row>
    <row r="2" spans="1:5" x14ac:dyDescent="0.25">
      <c r="A2" s="18" t="s">
        <v>77</v>
      </c>
      <c r="B2" s="39">
        <f>Homework!I9</f>
        <v>0.75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1</v>
      </c>
      <c r="D3" s="22"/>
      <c r="E3" s="1"/>
    </row>
    <row r="4" spans="1:5" x14ac:dyDescent="0.25">
      <c r="A4" s="23" t="s">
        <v>78</v>
      </c>
      <c r="B4" s="41">
        <f>B1*(1/1)+B2*(1/2)+B3*(1/3)</f>
        <v>1.7083333333333333</v>
      </c>
      <c r="C4" s="2"/>
      <c r="D4" s="52" t="s">
        <v>71</v>
      </c>
      <c r="E4" s="52"/>
    </row>
    <row r="5" spans="1:5" x14ac:dyDescent="0.25">
      <c r="A5" s="23" t="s">
        <v>79</v>
      </c>
      <c r="B5" s="41">
        <f>B4-E2</f>
        <v>1.1083333333333334</v>
      </c>
      <c r="D5" s="53" t="str">
        <f>IF(B4&gt;=1.506,"A-,A",IF(B4&gt;=0.92,"B-,B,B+",IF(B4&gt;=0.677,"C-,C,C+",IF(B4&gt;=0.548,"D-,D,D+","F"))))</f>
        <v>A-,A</v>
      </c>
      <c r="E5" s="54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23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52" t="s">
        <v>2</v>
      </c>
      <c r="E6" s="52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48" t="s">
        <v>72</v>
      </c>
      <c r="B1" s="45" t="s">
        <v>0</v>
      </c>
      <c r="C1" s="46"/>
      <c r="D1" s="46"/>
    </row>
    <row r="2" spans="1:9" ht="15.75" thickBot="1" x14ac:dyDescent="0.3">
      <c r="A2" s="48"/>
      <c r="B2" s="47" t="s">
        <v>14</v>
      </c>
      <c r="C2" s="45" t="s">
        <v>31</v>
      </c>
      <c r="D2" s="45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45"/>
      <c r="B3" s="45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2</v>
      </c>
      <c r="I3" s="16">
        <f>(H3/SUM(H3:H8))*(1/G3)</f>
        <v>0.5</v>
      </c>
    </row>
    <row r="4" spans="1:9" x14ac:dyDescent="0.25">
      <c r="A4" s="7">
        <v>1</v>
      </c>
      <c r="B4" s="11">
        <f t="shared" ref="B4:B9" si="0">IF(MIN(C4:D4)=0,"",MIN(C4:D4))</f>
        <v>1</v>
      </c>
      <c r="C4" s="31">
        <v>2</v>
      </c>
      <c r="D4" s="31">
        <v>1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1</v>
      </c>
      <c r="C5" s="31">
        <v>1</v>
      </c>
      <c r="D5" s="31">
        <v>6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3" t="s">
        <v>77</v>
      </c>
      <c r="G9" s="44"/>
      <c r="H9" s="44"/>
      <c r="I9" s="19">
        <f>SUM(I3:I8)</f>
        <v>0.75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46" t="s">
        <v>82</v>
      </c>
      <c r="B1" s="45" t="s">
        <v>0</v>
      </c>
      <c r="C1" s="46"/>
      <c r="D1" s="46"/>
    </row>
    <row r="2" spans="1:9" ht="15.75" thickBot="1" x14ac:dyDescent="0.3">
      <c r="A2" s="55"/>
      <c r="B2" s="47" t="s">
        <v>14</v>
      </c>
      <c r="C2" s="45" t="s">
        <v>31</v>
      </c>
      <c r="D2" s="45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47"/>
      <c r="B3" s="46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2026-05-01T04:33:20Z</dcterms:modified>
</cp:coreProperties>
</file>