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B72D372F-BD84-4B5C-BAFF-A6169486A224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<sst xmlns="http://schemas.openxmlformats.org/spreadsheetml/2006/main" count="107" uniqueCount="87">
  <si>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</si>
  <si>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</si>
  <si>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</si>
  <si>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</si>
  <si>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</si>
  <si>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</si>
  <si>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</si>
  <si>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</si>
  <si>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</si>
  <si>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</si>
  <si>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</si>
  <si>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</si>
  <si>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</si>
  <si>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</si>
  <si>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</si>
  <si>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</si>
  <si>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</si>
  <si>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</si>
  <si>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</si>
  <si>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</si>
  <si>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</si>
  <si>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</si>
  <si>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</si>
  <si>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</si>
  <si>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</si>
  <si>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</si>
  <si>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</si>
  <si>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</si>
  <si>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</si>
  <si>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</si>
  <si>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</si>
  <si>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</si>
  <si>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</si>
  <si>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</si>
  <si>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</si>
  <si>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</si>
  <si>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</si>
  <si>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</si>
  <si>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</si>
  <si>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</si>
  <si>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</si>
  <si>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</si>
  <si>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</si>
  <si>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</si>
  <si>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</si>
  <si>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</si>
  <si>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</si>
  <si>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</si>
  <si>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</si>
  <si>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</si>
  <si>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</si>
  <si>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</si>
  <si>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</si>
  <si>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</si>
  <si>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</si>
  <si>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</si>
  <si>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</si>
  <si>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</si>
  <si>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</si>
  <si>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</si>
  <si>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</si>
  <si>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</si>
  <si>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</si>
  <si>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</si>
  <si>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</si>
  <si>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</si>
  <si>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</si>
  <si>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</si>
  <si>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</si>
  <si>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</si>
  <si>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</si>
  <si>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</si>
  <si>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</si>
  <si>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</si>
  <si>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</si>
  <si>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</si>
  <si>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</si>
  <si>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</si>
  <si>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</si>
  <si>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</si>
  <si>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</si>
  <si>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</si>
  <si>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</si>
  <si>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</si>
  <si>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</si>
  <si>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</si>
  <si>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Sam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</si>
</sst>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0.61111111111111116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0.45833333333333331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0.78260869565217395</v>
      </c>
      <c r="D3" s="22"/>
      <c r="E3" s="1"/>
    </row>
    <row r="4" spans="1:5" x14ac:dyDescent="0.25">
      <c r="A4" s="23" t="s">
        <v>78</v>
      </c>
      <c r="B4" s="41">
        <f>B1*(1/1)+B2*(1/2)+B3*(1/3)</f>
        <v>1.101147342995169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0.50114734299516905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18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0</v>
      </c>
      <c r="D4" s="17" t="s">
        <v>76</v>
      </c>
      <c r="E4" s="20">
        <f>E2/E3</f>
        <v>0.78260869565217395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0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0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0</v>
      </c>
    </row>
    <row r="25" spans="1:2" x14ac:dyDescent="0.25">
      <c r="A25" s="33" t="s">
        <v>55</v>
      </c>
      <c r="B25" s="30">
        <v>0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3</v>
      </c>
      <c r="C4" s="31">
        <v>3</v>
      </c>
      <c r="D4" s="31">
        <v>6</v>
      </c>
      <c r="F4" s="6" t="s">
        <v>8</v>
      </c>
      <c r="G4" s="12">
        <v>2</v>
      </c>
      <c r="H4" s="13">
        <f>COUNTIF(B4:B9,"=2")</f>
        <v>3</v>
      </c>
      <c r="I4" s="16">
        <f>(H4/SUM(H3:H8))*(1/G4)</f>
        <v>0.375</v>
      </c>
    </row>
    <row r="5" spans="1:9" x14ac:dyDescent="0.25">
      <c r="A5" s="6">
        <v>2</v>
      </c>
      <c r="B5" s="11">
        <f t="shared" si="0"/>
        <v>2</v>
      </c>
      <c r="C5" s="31">
        <v>3</v>
      </c>
      <c r="D5" s="31">
        <v>2</v>
      </c>
      <c r="F5" s="6" t="s">
        <v>9</v>
      </c>
      <c r="G5" s="12">
        <v>3</v>
      </c>
      <c r="H5" s="13">
        <f>COUNTIF(B4:B9,"=3")</f>
        <v>1</v>
      </c>
      <c r="I5" s="16">
        <f>(H5/SUM(H3:H8))*(1/G5)</f>
        <v>8.3333333333333329E-2</v>
      </c>
    </row>
    <row r="6" spans="1:9" x14ac:dyDescent="0.25">
      <c r="A6" s="6">
        <v>3</v>
      </c>
      <c r="B6" s="11">
        <f t="shared" si="0"/>
        <v>2</v>
      </c>
      <c r="C6" s="31">
        <v>3</v>
      </c>
      <c r="D6" s="31">
        <v>2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2</v>
      </c>
      <c r="C7" s="31">
        <v>2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0.45833333333333331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1</v>
      </c>
      <c r="I3" s="36">
        <f>(H3/SUM(H3:H8))*(1/G3)</f>
        <v>0.33333333333333331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1</v>
      </c>
      <c r="I4" s="36">
        <f>(H4/SUM(H3:H8))*(1/G4)</f>
        <v>0.16666666666666666</v>
      </c>
    </row>
    <row r="5" spans="1:9" x14ac:dyDescent="0.25">
      <c r="A5" s="34">
        <v>1</v>
      </c>
      <c r="B5" s="37">
        <f>IF(MIN(C5:D5)=0,"",MIN(C5:D5))</f>
        <v>1</v>
      </c>
      <c r="C5" s="32">
        <v>2</v>
      </c>
      <c r="D5" s="32">
        <v>1</v>
      </c>
      <c r="F5" s="6" t="s">
        <v>9</v>
      </c>
      <c r="G5" s="12">
        <v>3</v>
      </c>
      <c r="H5" s="13">
        <f>COUNTIF(B4:B8,"=3")</f>
        <v>1</v>
      </c>
      <c r="I5" s="36">
        <f>(H5/SUM(H3:H8))*(1/G5)</f>
        <v>0.1111111111111111</v>
      </c>
    </row>
    <row r="6" spans="1:9" x14ac:dyDescent="0.25">
      <c r="A6" s="34">
        <v>2</v>
      </c>
      <c r="B6" s="37">
        <f>IF(MIN(C6:D6)=0,"",MIN(C6:D6))</f>
        <v>2</v>
      </c>
      <c r="C6" s="32">
        <v>2</v>
      </c>
      <c r="D6" s="32">
        <v>2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3</v>
      </c>
      <c r="C7" s="32">
        <v>3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0.61111111111111116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2026-05-01T17:59:19Z</dcterms:modified>
</cp:coreProperties>
</file>