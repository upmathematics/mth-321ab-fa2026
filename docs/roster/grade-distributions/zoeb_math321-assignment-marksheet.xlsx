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y Drive\Documents\up-aa\courses\sp-2026\MTH-321AB-sp2026\docs\roster\grade-distributions\"/>
    </mc:Choice>
  </mc:AlternateContent>
  <xr:revisionPtr revIDLastSave="0" documentId="13_ncr:1_{8B7DCCB9-FEBE-4856-AC60-A17558EF866B}" xr6:coauthVersionLast="47" xr6:coauthVersionMax="47" xr10:uidLastSave="{00000000-0000-0000-0000-000000000000}"/>
  <bookViews>
    <workbookView xWindow="3495" yWindow="2490" windowWidth="21600" windowHeight="11235" tabRatio="643" activeTab="1" xr2:uid="{00000000-000D-0000-FFFF-FFFF00000000}"/>
  </bookViews>
  <sheets>
    <sheet name="Instructions" sheetId="7" r:id="rId1"/>
    <sheet name="Summary" sheetId="6" r:id="rId2"/>
    <sheet name="Worksheet" sheetId="1" r:id="rId3"/>
    <sheet name="Homework" sheetId="2" r:id="rId4"/>
    <sheet name="Exam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3" l="1"/>
  <c r="B8" i="3"/>
  <c r="B6" i="3"/>
  <c r="B5" i="3"/>
  <c r="E2" i="1" l="1"/>
  <c r="E3" i="1"/>
  <c r="B4" i="3"/>
  <c r="B4" i="2"/>
  <c r="B5" i="2"/>
  <c r="B6" i="2"/>
  <c r="B7" i="2"/>
  <c r="B8" i="2"/>
  <c r="B9" i="2"/>
  <c r="H3" i="2" l="1"/>
  <c r="H6" i="3"/>
  <c r="H4" i="3"/>
  <c r="H8" i="3"/>
  <c r="E4" i="1"/>
  <c r="B3" i="6" s="1"/>
  <c r="H5" i="3"/>
  <c r="H7" i="3"/>
  <c r="H3" i="3"/>
  <c r="H5" i="2"/>
  <c r="H4" i="2"/>
  <c r="H7" i="2"/>
  <c r="H8" i="2"/>
  <c r="H6" i="2"/>
  <c r="I6" i="2" l="1"/>
  <c r="I3" i="3"/>
  <c r="I7" i="3"/>
  <c r="I5" i="3"/>
  <c r="I8" i="3"/>
  <c r="I4" i="3"/>
  <c r="I6" i="3"/>
  <c r="I8" i="2"/>
  <c r="I7" i="2"/>
  <c r="I4" i="2"/>
  <c r="I5" i="2"/>
  <c r="I3" i="2"/>
  <c r="I9" i="2" l="1"/>
  <c r="B2" i="6" s="1"/>
  <c r="I9" i="3"/>
  <c r="B1" i="6" s="1"/>
  <c r="B4" i="6" l="1"/>
  <c r="D5" i="6" s="1"/>
  <c r="B5" i="6" l="1"/>
</calcChain>
</file>

<file path=xl/sharedStrings.xml><?xml version="1.0" encoding="utf-8"?>
<sst xmlns="http://schemas.openxmlformats.org/spreadsheetml/2006/main" count="107" uniqueCount="87">
  <si>
    <t>Mark</t>
  </si>
  <si>
    <t>Total Worksheets</t>
  </si>
  <si>
    <t>Legend</t>
  </si>
  <si>
    <t>Fail</t>
  </si>
  <si>
    <t>Pass</t>
  </si>
  <si>
    <t>Initial</t>
  </si>
  <si>
    <t>Possible Marks</t>
  </si>
  <si>
    <t>O</t>
  </si>
  <si>
    <t>E</t>
  </si>
  <si>
    <t>A</t>
  </si>
  <si>
    <t>NI</t>
  </si>
  <si>
    <t>NMI</t>
  </si>
  <si>
    <t>M</t>
  </si>
  <si>
    <t>Count</t>
  </si>
  <si>
    <t>Final</t>
  </si>
  <si>
    <t>Rank</t>
  </si>
  <si>
    <t>Total Passed</t>
  </si>
  <si>
    <t>Guide</t>
  </si>
  <si>
    <t>Instructions</t>
  </si>
  <si>
    <t>1. Log-in to Moodle</t>
  </si>
  <si>
    <t>6. Enter the mark on the green cells to keep track of your progress</t>
  </si>
  <si>
    <t>2. View your returned assignments</t>
  </si>
  <si>
    <t>3. Read the feedback given by the instructor and reflect on it</t>
  </si>
  <si>
    <t>Cell Color Legends</t>
  </si>
  <si>
    <t>Headers</t>
  </si>
  <si>
    <t>User Data Entry</t>
  </si>
  <si>
    <t>Information</t>
  </si>
  <si>
    <t>5. On this file, go to the designated tab for the assignment category</t>
  </si>
  <si>
    <t>4. Locate the assignment mark on Moodle</t>
  </si>
  <si>
    <t>MTH-321AB: Ordinary Differential Equation Assignment Marksheet</t>
  </si>
  <si>
    <t>Revision</t>
  </si>
  <si>
    <t>Attempts</t>
  </si>
  <si>
    <t>Retake</t>
  </si>
  <si>
    <t>Worksheet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</si>
  <si>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</si>
  <si>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</si>
  <si>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</si>
  <si>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</si>
  <si>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</si>
  <si>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</si>
  <si>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</si>
  <si>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</si>
  <si>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</si>
  <si>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</si>
  <si>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</si>
  <si>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</si>
  <si>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</si>
  <si>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</si>
  <si>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</si>
  <si>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</si>
  <si>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</si>
  <si>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</si>
  <si>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</si>
  <si>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</si>
  <si>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22</t>
  </si>
  <si>
    <t>24</t>
  </si>
  <si>
    <t>27</t>
  </si>
  <si>
    <t>29</t>
  </si>
  <si>
    <t>21</t>
  </si>
  <si>
    <t>23</t>
  </si>
  <si>
    <t>25</t>
  </si>
  <si>
    <t>26</t>
  </si>
  <si>
    <t>28</t>
  </si>
  <si>
    <t>30</t>
  </si>
  <si>
    <t>31</t>
  </si>
  <si>
    <t>32</t>
  </si>
  <si>
    <t>33</t>
  </si>
  <si>
    <t>34</t>
  </si>
  <si>
    <t>35</t>
  </si>
  <si>
    <t>36</t>
  </si>
  <si>
    <t>37</t>
  </si>
  <si>
    <t>Letter Grade Range</t>
  </si>
  <si>
    <t>Homework</t>
  </si>
  <si>
    <t>Final letter grades (with -/+) are based on overall performance and will be assigned at the end of the semester.</t>
  </si>
  <si>
    <t>These "scores" are to inform you on how far you are from the passing "score".</t>
  </si>
  <si>
    <t>"Score" computations are subject to change based on overall course performance.</t>
  </si>
  <si>
    <t>Worksheets "Score"</t>
  </si>
  <si>
    <t>Homeworks "Score"</t>
  </si>
  <si>
    <t>Ranked "Score"</t>
  </si>
  <si>
    <t>Distance from Passing "Score"</t>
  </si>
  <si>
    <t>Passing "Score"</t>
  </si>
  <si>
    <t>Exams "Score"</t>
  </si>
  <si>
    <t>Exam</t>
  </si>
  <si>
    <t>The shown "scores" are just an estimate based on the returned assignments in Moodle, and are calculated based on the Syllabus.</t>
  </si>
  <si>
    <t>If you had submitted an overdue assignment, it will be reviewed after your final grade is determined.</t>
  </si>
  <si>
    <t>If you had submitted an optional assignment, it will be added after your final grade is determined.</t>
  </si>
  <si>
    <t>Zoe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</si>
</sst>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2" fillId="3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4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2" fillId="3" borderId="4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2" fontId="0" fillId="4" borderId="1" xfId="1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 vertical="center"/>
    </xf>
    <xf numFmtId="2" fontId="0" fillId="0" borderId="6" xfId="1" applyNumberFormat="1" applyFont="1" applyFill="1" applyBorder="1" applyAlignment="1">
      <alignment horizontal="center"/>
    </xf>
    <xf numFmtId="2" fontId="1" fillId="0" borderId="1" xfId="1" applyNumberFormat="1" applyFont="1" applyFill="1" applyBorder="1" applyAlignment="1" applyProtection="1">
      <alignment horizontal="center"/>
    </xf>
    <xf numFmtId="0" fontId="0" fillId="5" borderId="1" xfId="0" applyFill="1" applyBorder="1" applyAlignment="1">
      <alignment horizontal="center"/>
    </xf>
    <xf numFmtId="0" fontId="2" fillId="0" borderId="0" xfId="0" applyFont="1" applyAlignment="1">
      <alignment horizontal="right"/>
    </xf>
    <xf numFmtId="0" fontId="2" fillId="6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right"/>
    </xf>
    <xf numFmtId="0" fontId="0" fillId="5" borderId="2" xfId="0" applyFill="1" applyBorder="1"/>
    <xf numFmtId="0" fontId="0" fillId="5" borderId="1" xfId="0" applyFill="1" applyBorder="1"/>
    <xf numFmtId="0" fontId="2" fillId="3" borderId="3" xfId="0" applyFont="1" applyFill="1" applyBorder="1"/>
    <xf numFmtId="0" fontId="0" fillId="7" borderId="1" xfId="0" applyFill="1" applyBorder="1"/>
    <xf numFmtId="0" fontId="2" fillId="3" borderId="2" xfId="0" applyFont="1" applyFill="1" applyBorder="1" applyAlignment="1">
      <alignment horizontal="right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protection locked="0"/>
    </xf>
    <xf numFmtId="49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2" fontId="0" fillId="4" borderId="1" xfId="1" applyNumberFormat="1" applyFont="1" applyFill="1" applyBorder="1" applyAlignment="1" applyProtection="1">
      <alignment horizontal="center"/>
    </xf>
    <xf numFmtId="0" fontId="0" fillId="4" borderId="1" xfId="0" applyFill="1" applyBorder="1"/>
    <xf numFmtId="2" fontId="0" fillId="0" borderId="6" xfId="1" applyNumberFormat="1" applyFont="1" applyFill="1" applyBorder="1" applyAlignment="1" applyProtection="1">
      <alignment horizontal="center"/>
    </xf>
    <xf numFmtId="164" fontId="4" fillId="5" borderId="1" xfId="1" applyNumberFormat="1" applyFont="1" applyFill="1" applyBorder="1" applyAlignment="1">
      <alignment horizontal="center"/>
    </xf>
    <xf numFmtId="164" fontId="4" fillId="5" borderId="1" xfId="1" applyNumberFormat="1" applyFont="1" applyFill="1" applyBorder="1" applyAlignment="1" applyProtection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0" fillId="2" borderId="2" xfId="0" applyFill="1" applyBorder="1" applyAlignment="1" applyProtection="1">
      <alignment horizontal="center"/>
      <protection locked="0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2" fillId="3" borderId="5" xfId="0" applyFont="1" applyFill="1" applyBorder="1" applyAlignment="1">
      <alignment horizontal="right" vertical="center"/>
    </xf>
    <xf numFmtId="0" fontId="2" fillId="3" borderId="9" xfId="0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76813-4724-417F-9530-B52F9CE52236}">
  <dimension ref="A1:D10"/>
  <sheetViews>
    <sheetView showGridLines="0" zoomScale="180" zoomScaleNormal="180" workbookViewId="0">
      <selection activeCell="A2" sqref="A2:D2"/>
    </sheetView>
  </sheetViews>
  <sheetFormatPr defaultRowHeight="15" x14ac:dyDescent="0.25"/>
  <cols>
    <col min="1" max="1" width="61.85546875" bestFit="1" customWidth="1"/>
    <col min="2" max="2" width="2.28515625" customWidth="1"/>
    <col min="3" max="3" width="14.85546875" bestFit="1" customWidth="1"/>
    <col min="4" max="4" width="3.7109375" customWidth="1"/>
  </cols>
  <sheetData>
    <row r="1" spans="1:4" ht="15.75" thickBot="1" x14ac:dyDescent="0.3">
      <c r="A1" s="45" t="s">
        <v>29</v>
      </c>
      <c r="B1" s="45"/>
      <c r="C1" s="45"/>
      <c r="D1" s="45"/>
    </row>
    <row r="2" spans="1:4" x14ac:dyDescent="0.25">
      <c r="A2" s="46" t="s">
        <v>86</v>
      </c>
      <c r="B2" s="46"/>
      <c r="C2" s="46"/>
      <c r="D2" s="46"/>
    </row>
    <row r="4" spans="1:4" ht="15.75" thickBot="1" x14ac:dyDescent="0.3">
      <c r="A4" s="27" t="s">
        <v>18</v>
      </c>
      <c r="C4" s="44" t="s">
        <v>23</v>
      </c>
      <c r="D4" s="44"/>
    </row>
    <row r="5" spans="1:4" x14ac:dyDescent="0.25">
      <c r="A5" s="25" t="s">
        <v>19</v>
      </c>
      <c r="C5" s="29" t="s">
        <v>25</v>
      </c>
      <c r="D5" s="8"/>
    </row>
    <row r="6" spans="1:4" x14ac:dyDescent="0.25">
      <c r="A6" s="26" t="s">
        <v>21</v>
      </c>
      <c r="C6" s="17" t="s">
        <v>24</v>
      </c>
      <c r="D6" s="28"/>
    </row>
    <row r="7" spans="1:4" x14ac:dyDescent="0.25">
      <c r="A7" s="26" t="s">
        <v>22</v>
      </c>
      <c r="C7" s="17" t="s">
        <v>26</v>
      </c>
      <c r="D7" s="26"/>
    </row>
    <row r="8" spans="1:4" x14ac:dyDescent="0.25">
      <c r="A8" s="26" t="s">
        <v>28</v>
      </c>
    </row>
    <row r="9" spans="1:4" x14ac:dyDescent="0.25">
      <c r="A9" s="26" t="s">
        <v>27</v>
      </c>
    </row>
    <row r="10" spans="1:4" x14ac:dyDescent="0.25">
      <c r="A10" s="26" t="s">
        <v>20</v>
      </c>
    </row>
  </sheetData>
  <sheetProtection algorithmName="SHA-512" hashValue="u2VuTth+xHioxTbUHiwfNhxt8rsq0tzNQ9VqzpfX4+thLRDahCxWbz6/GwmgvOXw1yQS+j+HdfUP0wj4Xk89Sw==" saltValue="k7miOZwxmi+DuZuHNBmwxg==" spinCount="100000" sheet="1" objects="1" scenarios="1" selectLockedCells="1"/>
  <mergeCells count="3">
    <mergeCell ref="C4:D4"/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B2835-A1A8-4A8E-AB76-378035130406}">
  <dimension ref="A1:E12"/>
  <sheetViews>
    <sheetView showGridLines="0" tabSelected="1" zoomScale="180" zoomScaleNormal="180" workbookViewId="0">
      <selection activeCell="A7" sqref="A7"/>
    </sheetView>
  </sheetViews>
  <sheetFormatPr defaultRowHeight="15" x14ac:dyDescent="0.25"/>
  <cols>
    <col min="1" max="1" width="32.7109375" customWidth="1"/>
    <col min="2" max="2" width="7.28515625" style="42" bestFit="1" customWidth="1"/>
    <col min="3" max="3" width="2.140625" customWidth="1"/>
    <col min="4" max="4" width="16.7109375" customWidth="1"/>
    <col min="5" max="5" width="4" bestFit="1" customWidth="1"/>
  </cols>
  <sheetData>
    <row r="1" spans="1:5" x14ac:dyDescent="0.25">
      <c r="A1" s="18" t="s">
        <v>81</v>
      </c>
      <c r="B1" s="39">
        <f>Exam!I9</f>
        <v>0.38888888888888884</v>
      </c>
      <c r="D1" s="43" t="s">
        <v>17</v>
      </c>
      <c r="E1" s="43"/>
    </row>
    <row r="2" spans="1:5" x14ac:dyDescent="0.25">
      <c r="A2" s="18" t="s">
        <v>77</v>
      </c>
      <c r="B2" s="39">
        <f>Homework!I9</f>
        <v>0.3208333333333333</v>
      </c>
      <c r="D2" s="24" t="s">
        <v>80</v>
      </c>
      <c r="E2" s="21">
        <v>0.6</v>
      </c>
    </row>
    <row r="3" spans="1:5" x14ac:dyDescent="0.25">
      <c r="A3" s="17" t="s">
        <v>76</v>
      </c>
      <c r="B3" s="40">
        <f>Worksheet!E4</f>
        <v>0.82608695652173914</v>
      </c>
      <c r="D3" s="22"/>
      <c r="E3" s="1"/>
    </row>
    <row r="4" spans="1:5" x14ac:dyDescent="0.25">
      <c r="A4" s="23" t="s">
        <v>78</v>
      </c>
      <c r="B4" s="41">
        <f>B1*(1/1)+B2*(1/2)+B3*(1/3)</f>
        <v>0.8246678743961352</v>
      </c>
      <c r="C4" s="2"/>
      <c r="D4" s="43" t="s">
        <v>71</v>
      </c>
      <c r="E4" s="43"/>
    </row>
    <row r="5" spans="1:5" x14ac:dyDescent="0.25">
      <c r="A5" s="23" t="s">
        <v>79</v>
      </c>
      <c r="B5" s="41">
        <f>B4-E2</f>
        <v>0.22466787439613523</v>
      </c>
      <c r="D5" s="47" t="str">
        <f>IF(B4&gt;=1.506,"A-,A",IF(B4&gt;=0.92,"B-,B,B+",IF(B4&gt;=0.677,"C-,C,C+",IF(B4&gt;=0.548,"D-,D,D+","F"))))</f>
        <v>C-,C,C+</v>
      </c>
      <c r="E5" s="48"/>
    </row>
    <row r="7" spans="1:5" x14ac:dyDescent="0.25">
      <c r="A7" s="2" t="s">
        <v>83</v>
      </c>
    </row>
    <row r="8" spans="1:5" x14ac:dyDescent="0.25">
      <c r="A8" s="2" t="s">
        <v>74</v>
      </c>
    </row>
    <row r="9" spans="1:5" x14ac:dyDescent="0.25">
      <c r="A9" s="2" t="s">
        <v>75</v>
      </c>
    </row>
    <row r="10" spans="1:5" x14ac:dyDescent="0.25">
      <c r="A10" s="2" t="s">
        <v>73</v>
      </c>
    </row>
    <row r="11" spans="1:5" x14ac:dyDescent="0.25">
      <c r="A11" s="2" t="s">
        <v>84</v>
      </c>
    </row>
    <row r="12" spans="1:5" x14ac:dyDescent="0.25">
      <c r="A12" s="2" t="s">
        <v>85</v>
      </c>
    </row>
  </sheetData>
  <sheetProtection algorithmName="SHA-512" hashValue="esp5QK7O1eITxA/KrR5lO2N8bKYi0SUojzPEVVT96EKEzhg0um07xfWdvUUgOQFUcnT268a+8skHc2gseRVQWg==" saltValue="LrBIF2Pv+Y5t9pxwdtdPpg==" spinCount="100000" sheet="1" selectLockedCells="1" selectUnlockedCells="1"/>
  <mergeCells count="3">
    <mergeCell ref="D1:E1"/>
    <mergeCell ref="D4:E4"/>
    <mergeCell ref="D5:E5"/>
  </mergeCells>
  <conditionalFormatting sqref="B4">
    <cfRule type="cellIs" dxfId="3" priority="7" operator="greaterThanOrEqual">
      <formula>$E$2</formula>
    </cfRule>
    <cfRule type="cellIs" dxfId="2" priority="8" operator="lessThan">
      <formula>$E$2</formula>
    </cfRule>
  </conditionalFormatting>
  <conditionalFormatting sqref="B5">
    <cfRule type="cellIs" dxfId="1" priority="1" operator="greaterThanOrEqual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showGridLines="0" topLeftCell="A9" zoomScale="180" zoomScaleNormal="180" workbookViewId="0">
      <selection activeCell="B27" sqref="B27"/>
    </sheetView>
  </sheetViews>
  <sheetFormatPr defaultRowHeight="15" x14ac:dyDescent="0.25"/>
  <cols>
    <col min="1" max="1" width="13.5703125" style="4" customWidth="1"/>
    <col min="2" max="2" width="8.7109375" style="1" customWidth="1"/>
    <col min="3" max="3" width="2.28515625" customWidth="1"/>
    <col min="4" max="4" width="20.7109375" bestFit="1" customWidth="1"/>
  </cols>
  <sheetData>
    <row r="1" spans="1:5" ht="15.75" thickBot="1" x14ac:dyDescent="0.3">
      <c r="A1" s="3" t="s">
        <v>33</v>
      </c>
      <c r="B1" s="3" t="s">
        <v>0</v>
      </c>
    </row>
    <row r="2" spans="1:5" x14ac:dyDescent="0.25">
      <c r="A2" s="33" t="s">
        <v>34</v>
      </c>
      <c r="B2" s="30">
        <v>1</v>
      </c>
      <c r="D2" s="17" t="s">
        <v>16</v>
      </c>
      <c r="E2" s="5">
        <f>SUM(B2:B14,B15:B20,B21:B25,B26:B35,B36:B38)</f>
        <v>19</v>
      </c>
    </row>
    <row r="3" spans="1:5" x14ac:dyDescent="0.25">
      <c r="A3" s="33" t="s">
        <v>35</v>
      </c>
      <c r="B3" s="30">
        <v>1</v>
      </c>
      <c r="D3" s="17" t="s">
        <v>1</v>
      </c>
      <c r="E3" s="5">
        <f>COUNTA(B2:B14,B15:B20,B21:B25,B26:B35,B36:B38)</f>
        <v>23</v>
      </c>
    </row>
    <row r="4" spans="1:5" x14ac:dyDescent="0.25">
      <c r="A4" s="33" t="s">
        <v>36</v>
      </c>
      <c r="B4" s="30">
        <v>1</v>
      </c>
      <c r="D4" s="17" t="s">
        <v>76</v>
      </c>
      <c r="E4" s="20">
        <f>E2/E3</f>
        <v>0.82608695652173914</v>
      </c>
    </row>
    <row r="5" spans="1:5" x14ac:dyDescent="0.25">
      <c r="A5" s="33" t="s">
        <v>37</v>
      </c>
      <c r="B5" s="30">
        <v>1</v>
      </c>
    </row>
    <row r="6" spans="1:5" x14ac:dyDescent="0.25">
      <c r="A6" s="33" t="s">
        <v>38</v>
      </c>
      <c r="B6" s="30">
        <v>1</v>
      </c>
      <c r="D6" s="43" t="s">
        <v>2</v>
      </c>
      <c r="E6" s="43"/>
    </row>
    <row r="7" spans="1:5" x14ac:dyDescent="0.25">
      <c r="A7" s="33" t="s">
        <v>39</v>
      </c>
      <c r="B7" s="30">
        <v>1</v>
      </c>
      <c r="D7" s="17" t="s">
        <v>3</v>
      </c>
      <c r="E7" s="5">
        <v>0</v>
      </c>
    </row>
    <row r="8" spans="1:5" x14ac:dyDescent="0.25">
      <c r="A8" s="33" t="s">
        <v>40</v>
      </c>
      <c r="B8" s="30"/>
      <c r="D8" s="17" t="s">
        <v>4</v>
      </c>
      <c r="E8" s="5">
        <v>1</v>
      </c>
    </row>
    <row r="9" spans="1:5" x14ac:dyDescent="0.25">
      <c r="A9" s="33" t="s">
        <v>41</v>
      </c>
      <c r="B9" s="30">
        <v>1</v>
      </c>
    </row>
    <row r="10" spans="1:5" x14ac:dyDescent="0.25">
      <c r="A10" s="33" t="s">
        <v>42</v>
      </c>
      <c r="B10" s="30">
        <v>1</v>
      </c>
    </row>
    <row r="11" spans="1:5" x14ac:dyDescent="0.25">
      <c r="A11" s="33" t="s">
        <v>43</v>
      </c>
      <c r="B11" s="30">
        <v>1</v>
      </c>
    </row>
    <row r="12" spans="1:5" x14ac:dyDescent="0.25">
      <c r="A12" s="33" t="s">
        <v>44</v>
      </c>
      <c r="B12" s="30">
        <v>0</v>
      </c>
    </row>
    <row r="13" spans="1:5" x14ac:dyDescent="0.25">
      <c r="A13" s="33" t="s">
        <v>45</v>
      </c>
      <c r="B13" s="30">
        <v>1</v>
      </c>
    </row>
    <row r="14" spans="1:5" x14ac:dyDescent="0.25">
      <c r="A14" s="33" t="s">
        <v>46</v>
      </c>
      <c r="B14" s="30">
        <v>1</v>
      </c>
    </row>
    <row r="15" spans="1:5" x14ac:dyDescent="0.25">
      <c r="A15" s="33" t="s">
        <v>47</v>
      </c>
      <c r="B15" s="30">
        <v>1</v>
      </c>
    </row>
    <row r="16" spans="1:5" x14ac:dyDescent="0.25">
      <c r="A16" s="33" t="s">
        <v>48</v>
      </c>
      <c r="B16" s="30">
        <v>0</v>
      </c>
    </row>
    <row r="17" spans="1:2" x14ac:dyDescent="0.25">
      <c r="A17" s="33" t="s">
        <v>49</v>
      </c>
      <c r="B17" s="30">
        <v>1</v>
      </c>
    </row>
    <row r="18" spans="1:2" x14ac:dyDescent="0.25">
      <c r="A18" s="33" t="s">
        <v>50</v>
      </c>
      <c r="B18" s="30"/>
    </row>
    <row r="19" spans="1:2" x14ac:dyDescent="0.25">
      <c r="A19" s="33" t="s">
        <v>51</v>
      </c>
      <c r="B19" s="30">
        <v>1</v>
      </c>
    </row>
    <row r="20" spans="1:2" x14ac:dyDescent="0.25">
      <c r="A20" s="33" t="s">
        <v>52</v>
      </c>
      <c r="B20" s="30">
        <v>1</v>
      </c>
    </row>
    <row r="21" spans="1:2" x14ac:dyDescent="0.25">
      <c r="A21" s="33" t="s">
        <v>53</v>
      </c>
      <c r="B21" s="30">
        <v>0</v>
      </c>
    </row>
    <row r="22" spans="1:2" x14ac:dyDescent="0.25">
      <c r="A22" s="33" t="s">
        <v>58</v>
      </c>
      <c r="B22" s="30">
        <v>1</v>
      </c>
    </row>
    <row r="23" spans="1:2" x14ac:dyDescent="0.25">
      <c r="A23" s="33" t="s">
        <v>54</v>
      </c>
      <c r="B23" s="30">
        <v>1</v>
      </c>
    </row>
    <row r="24" spans="1:2" x14ac:dyDescent="0.25">
      <c r="A24" s="33" t="s">
        <v>59</v>
      </c>
      <c r="B24" s="30">
        <v>1</v>
      </c>
    </row>
    <row r="25" spans="1:2" x14ac:dyDescent="0.25">
      <c r="A25" s="33" t="s">
        <v>55</v>
      </c>
      <c r="B25" s="30">
        <v>1</v>
      </c>
    </row>
    <row r="26" spans="1:2" x14ac:dyDescent="0.25">
      <c r="A26" s="33" t="s">
        <v>60</v>
      </c>
      <c r="B26" s="30">
        <v>0</v>
      </c>
    </row>
    <row r="27" spans="1:2" x14ac:dyDescent="0.25">
      <c r="A27" s="33" t="s">
        <v>61</v>
      </c>
      <c r="B27" s="30"/>
    </row>
    <row r="28" spans="1:2" x14ac:dyDescent="0.25">
      <c r="A28" s="33" t="s">
        <v>56</v>
      </c>
      <c r="B28" s="30"/>
    </row>
    <row r="29" spans="1:2" x14ac:dyDescent="0.25">
      <c r="A29" s="33" t="s">
        <v>62</v>
      </c>
      <c r="B29" s="30"/>
    </row>
    <row r="30" spans="1:2" x14ac:dyDescent="0.25">
      <c r="A30" s="33" t="s">
        <v>57</v>
      </c>
      <c r="B30" s="30"/>
    </row>
    <row r="31" spans="1:2" x14ac:dyDescent="0.25">
      <c r="A31" s="33" t="s">
        <v>63</v>
      </c>
      <c r="B31" s="30"/>
    </row>
    <row r="32" spans="1:2" x14ac:dyDescent="0.25">
      <c r="A32" s="33" t="s">
        <v>64</v>
      </c>
      <c r="B32" s="30"/>
    </row>
    <row r="33" spans="1:2" x14ac:dyDescent="0.25">
      <c r="A33" s="33" t="s">
        <v>65</v>
      </c>
      <c r="B33" s="30"/>
    </row>
    <row r="34" spans="1:2" x14ac:dyDescent="0.25">
      <c r="A34" s="33" t="s">
        <v>66</v>
      </c>
      <c r="B34" s="30"/>
    </row>
    <row r="35" spans="1:2" x14ac:dyDescent="0.25">
      <c r="A35" s="33" t="s">
        <v>67</v>
      </c>
      <c r="B35" s="30"/>
    </row>
    <row r="36" spans="1:2" x14ac:dyDescent="0.25">
      <c r="A36" s="33" t="s">
        <v>68</v>
      </c>
      <c r="B36" s="30"/>
    </row>
    <row r="37" spans="1:2" x14ac:dyDescent="0.25">
      <c r="A37" s="33" t="s">
        <v>69</v>
      </c>
      <c r="B37" s="30"/>
    </row>
    <row r="38" spans="1:2" x14ac:dyDescent="0.25">
      <c r="A38" s="33" t="s">
        <v>70</v>
      </c>
      <c r="B38" s="30"/>
    </row>
  </sheetData>
  <sheetProtection algorithmName="SHA-512" hashValue="qedzuucjQisEL9MEo30rKC7LD+Ut4xJ6zpTfYcc8InfcGQfQ50ZlYdVlvtOhUqj3DrFwE5etFUkrqzNTMPtaZQ==" saltValue="/SI3f5GorRXcHfZfrchliA==" spinCount="100000" sheet="1" selectLockedCells="1"/>
  <protectedRanges>
    <protectedRange sqref="B2:B38" name="Worksheet Inputs"/>
  </protectedRanges>
  <mergeCells count="1">
    <mergeCell ref="D6:E6"/>
  </mergeCells>
  <dataValidations count="1">
    <dataValidation type="list" operator="equal" allowBlank="1" showInputMessage="1" showErrorMessage="1" sqref="B2:B38" xr:uid="{CCC79C44-3037-4931-91F5-C5D34D656508}">
      <formula1>$E$7:$E$8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E5F9-1344-408D-AB1B-288D030265F4}">
  <dimension ref="A1:I9"/>
  <sheetViews>
    <sheetView showGridLines="0" topLeftCell="A3" zoomScale="180" zoomScaleNormal="180" workbookViewId="0">
      <selection activeCell="D7" sqref="D7"/>
    </sheetView>
  </sheetViews>
  <sheetFormatPr defaultRowHeight="15" x14ac:dyDescent="0.25"/>
  <cols>
    <col min="1" max="1" width="11" style="1" bestFit="1" customWidth="1"/>
    <col min="2" max="2" width="4.85546875" bestFit="1" customWidth="1"/>
    <col min="3" max="3" width="5.7109375" customWidth="1"/>
    <col min="4" max="4" width="8.5703125" bestFit="1" customWidth="1"/>
    <col min="5" max="5" width="1.85546875" customWidth="1"/>
    <col min="6" max="6" width="13.7109375" bestFit="1" customWidth="1"/>
    <col min="7" max="7" width="8.5703125" bestFit="1" customWidth="1"/>
    <col min="8" max="8" width="6.140625" bestFit="1" customWidth="1"/>
    <col min="9" max="9" width="15" bestFit="1" customWidth="1"/>
  </cols>
  <sheetData>
    <row r="1" spans="1:9" ht="15.75" thickBot="1" x14ac:dyDescent="0.3">
      <c r="A1" s="54" t="s">
        <v>72</v>
      </c>
      <c r="B1" s="51" t="s">
        <v>0</v>
      </c>
      <c r="C1" s="52"/>
      <c r="D1" s="52"/>
    </row>
    <row r="2" spans="1:9" ht="15.75" thickBot="1" x14ac:dyDescent="0.3">
      <c r="A2" s="54"/>
      <c r="B2" s="53" t="s">
        <v>14</v>
      </c>
      <c r="C2" s="51" t="s">
        <v>31</v>
      </c>
      <c r="D2" s="51"/>
      <c r="F2" s="6" t="s">
        <v>6</v>
      </c>
      <c r="G2" s="6" t="s">
        <v>15</v>
      </c>
      <c r="H2" s="6" t="s">
        <v>13</v>
      </c>
      <c r="I2" s="6" t="s">
        <v>78</v>
      </c>
    </row>
    <row r="3" spans="1:9" ht="15.75" thickBot="1" x14ac:dyDescent="0.3">
      <c r="A3" s="51"/>
      <c r="B3" s="51"/>
      <c r="C3" s="9" t="s">
        <v>5</v>
      </c>
      <c r="D3" s="9" t="s">
        <v>30</v>
      </c>
      <c r="F3" s="6" t="s">
        <v>7</v>
      </c>
      <c r="G3" s="12">
        <v>1</v>
      </c>
      <c r="H3" s="13">
        <f>COUNTIF(B4:B9,"=1")</f>
        <v>0</v>
      </c>
      <c r="I3" s="16">
        <f>(H3/SUM(H3:H8))*(1/G3)</f>
        <v>0</v>
      </c>
    </row>
    <row r="4" spans="1:9" x14ac:dyDescent="0.25">
      <c r="A4" s="7">
        <v>1</v>
      </c>
      <c r="B4" s="11">
        <f t="shared" ref="B4:B9" si="0">IF(MIN(C4:D4)=0,"",MIN(C4:D4))</f>
        <v>2</v>
      </c>
      <c r="C4" s="31">
        <v>2</v>
      </c>
      <c r="D4" s="31">
        <v>6</v>
      </c>
      <c r="F4" s="6" t="s">
        <v>8</v>
      </c>
      <c r="G4" s="12">
        <v>2</v>
      </c>
      <c r="H4" s="13">
        <f>COUNTIF(B4:B9,"=2")</f>
        <v>1</v>
      </c>
      <c r="I4" s="16">
        <f>(H4/SUM(H3:H8))*(1/G4)</f>
        <v>0.125</v>
      </c>
    </row>
    <row r="5" spans="1:9" x14ac:dyDescent="0.25">
      <c r="A5" s="6">
        <v>2</v>
      </c>
      <c r="B5" s="11">
        <f t="shared" si="0"/>
        <v>3</v>
      </c>
      <c r="C5" s="31">
        <v>3</v>
      </c>
      <c r="D5" s="31">
        <v>6</v>
      </c>
      <c r="F5" s="6" t="s">
        <v>9</v>
      </c>
      <c r="G5" s="12">
        <v>3</v>
      </c>
      <c r="H5" s="13">
        <f>COUNTIF(B4:B9,"=3")</f>
        <v>1</v>
      </c>
      <c r="I5" s="16">
        <f>(H5/SUM(H3:H8))*(1/G5)</f>
        <v>8.3333333333333329E-2</v>
      </c>
    </row>
    <row r="6" spans="1:9" x14ac:dyDescent="0.25">
      <c r="A6" s="6">
        <v>3</v>
      </c>
      <c r="B6" s="11">
        <f t="shared" si="0"/>
        <v>4</v>
      </c>
      <c r="C6" s="31">
        <v>4</v>
      </c>
      <c r="D6" s="31">
        <v>6</v>
      </c>
      <c r="F6" s="6" t="s">
        <v>10</v>
      </c>
      <c r="G6" s="12">
        <v>4</v>
      </c>
      <c r="H6" s="13">
        <f>COUNTIF(B4:B9,"=4")</f>
        <v>1</v>
      </c>
      <c r="I6" s="16">
        <f>(H6/SUM(H3:H8))*(1/G6)</f>
        <v>6.25E-2</v>
      </c>
    </row>
    <row r="7" spans="1:9" x14ac:dyDescent="0.25">
      <c r="A7" s="6">
        <v>4</v>
      </c>
      <c r="B7" s="11">
        <f t="shared" si="0"/>
        <v>5</v>
      </c>
      <c r="C7" s="31">
        <v>5</v>
      </c>
      <c r="D7" s="31"/>
      <c r="F7" s="6" t="s">
        <v>11</v>
      </c>
      <c r="G7" s="12">
        <v>5</v>
      </c>
      <c r="H7" s="13">
        <f>COUNTIF(B4:B9,"=5")</f>
        <v>1</v>
      </c>
      <c r="I7" s="16">
        <f>(H7/SUM(H3:H8))*(1/G7)</f>
        <v>0.05</v>
      </c>
    </row>
    <row r="8" spans="1:9" x14ac:dyDescent="0.25">
      <c r="A8" s="6">
        <v>5</v>
      </c>
      <c r="B8" s="11" t="str">
        <f t="shared" si="0"/>
        <v/>
      </c>
      <c r="C8" s="31"/>
      <c r="D8" s="31"/>
      <c r="F8" s="10" t="s">
        <v>12</v>
      </c>
      <c r="G8" s="14">
        <v>6</v>
      </c>
      <c r="H8" s="15">
        <f>COUNTIF(B4:B9,"=6")</f>
        <v>0</v>
      </c>
      <c r="I8" s="16">
        <f>(H8/SUM(H3:H8))*(1/G8)</f>
        <v>0</v>
      </c>
    </row>
    <row r="9" spans="1:9" x14ac:dyDescent="0.25">
      <c r="A9" s="6">
        <v>6</v>
      </c>
      <c r="B9" s="11" t="str">
        <f t="shared" si="0"/>
        <v/>
      </c>
      <c r="C9" s="31"/>
      <c r="D9" s="31"/>
      <c r="F9" s="49" t="s">
        <v>77</v>
      </c>
      <c r="G9" s="50"/>
      <c r="H9" s="50"/>
      <c r="I9" s="19">
        <f>SUM(I3:I8)</f>
        <v>0.3208333333333333</v>
      </c>
    </row>
  </sheetData>
  <sheetProtection algorithmName="SHA-512" hashValue="lkQ0O9hUFHt9+k1803GxtdOap7TfD0nwNKMckwX88YAJhZHLjOkCcap7HuE7c8R+4sr6NSkV996KgKgTw4ZsqA==" saltValue="ZhEpBBI4xG4wiuOntMzk5Q==" spinCount="100000" sheet="1" selectLockedCells="1"/>
  <mergeCells count="5">
    <mergeCell ref="F9:H9"/>
    <mergeCell ref="B1:D1"/>
    <mergeCell ref="B2:B3"/>
    <mergeCell ref="A1:A3"/>
    <mergeCell ref="C2:D2"/>
  </mergeCells>
  <dataValidations count="1">
    <dataValidation type="list" allowBlank="1" showInputMessage="1" showErrorMessage="1" sqref="C4:D9" xr:uid="{3371F880-66D9-4E4E-A70E-7282E582F759}">
      <formula1>$G$3:$G$8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45DB3-C8CE-4CC7-8A7A-A7C0C336043D}">
  <dimension ref="A1:I9"/>
  <sheetViews>
    <sheetView showGridLines="0" zoomScale="180" zoomScaleNormal="180" workbookViewId="0">
      <selection activeCell="D7" sqref="D7"/>
    </sheetView>
  </sheetViews>
  <sheetFormatPr defaultRowHeight="15" x14ac:dyDescent="0.25"/>
  <cols>
    <col min="1" max="1" width="6.5703125" bestFit="1" customWidth="1"/>
    <col min="2" max="2" width="4.85546875" bestFit="1" customWidth="1"/>
    <col min="3" max="3" width="5.7109375" bestFit="1" customWidth="1"/>
    <col min="4" max="4" width="7.140625" bestFit="1" customWidth="1"/>
    <col min="5" max="5" width="2.42578125" customWidth="1"/>
    <col min="6" max="6" width="13.5703125" bestFit="1" customWidth="1"/>
    <col min="7" max="7" width="5.28515625" bestFit="1" customWidth="1"/>
    <col min="8" max="8" width="6.140625" bestFit="1" customWidth="1"/>
    <col min="9" max="9" width="15" bestFit="1" customWidth="1"/>
  </cols>
  <sheetData>
    <row r="1" spans="1:9" ht="15.75" thickBot="1" x14ac:dyDescent="0.3">
      <c r="A1" s="52" t="s">
        <v>82</v>
      </c>
      <c r="B1" s="51" t="s">
        <v>0</v>
      </c>
      <c r="C1" s="52"/>
      <c r="D1" s="52"/>
    </row>
    <row r="2" spans="1:9" ht="15.75" thickBot="1" x14ac:dyDescent="0.3">
      <c r="A2" s="55"/>
      <c r="B2" s="53" t="s">
        <v>14</v>
      </c>
      <c r="C2" s="51" t="s">
        <v>31</v>
      </c>
      <c r="D2" s="51"/>
      <c r="F2" s="6" t="s">
        <v>6</v>
      </c>
      <c r="G2" s="6" t="s">
        <v>15</v>
      </c>
      <c r="H2" s="6" t="s">
        <v>13</v>
      </c>
      <c r="I2" s="6" t="s">
        <v>78</v>
      </c>
    </row>
    <row r="3" spans="1:9" x14ac:dyDescent="0.25">
      <c r="A3" s="53"/>
      <c r="B3" s="52"/>
      <c r="C3" s="35" t="s">
        <v>5</v>
      </c>
      <c r="D3" s="35" t="s">
        <v>32</v>
      </c>
      <c r="F3" s="6" t="s">
        <v>7</v>
      </c>
      <c r="G3" s="12">
        <v>1</v>
      </c>
      <c r="H3" s="13">
        <f>COUNTIF(B4:B8,"=1")</f>
        <v>0</v>
      </c>
      <c r="I3" s="36">
        <f>(H3/SUM(H3:H8))*(1/G3)</f>
        <v>0</v>
      </c>
    </row>
    <row r="4" spans="1:9" x14ac:dyDescent="0.25">
      <c r="A4" s="34">
        <v>0</v>
      </c>
      <c r="B4" s="37" t="str">
        <f>IF(MIN(C4:D4)=0,"",MIN(C4:D4))</f>
        <v/>
      </c>
      <c r="C4" s="32"/>
      <c r="D4" s="32"/>
      <c r="F4" s="6" t="s">
        <v>8</v>
      </c>
      <c r="G4" s="12">
        <v>2</v>
      </c>
      <c r="H4" s="13">
        <f>COUNTIF(B4:B8,"=2")</f>
        <v>1</v>
      </c>
      <c r="I4" s="36">
        <f>(H4/SUM(H3:H8))*(1/G4)</f>
        <v>0.16666666666666666</v>
      </c>
    </row>
    <row r="5" spans="1:9" x14ac:dyDescent="0.25">
      <c r="A5" s="34">
        <v>1</v>
      </c>
      <c r="B5" s="37">
        <f>IF(MIN(C5:D5)=0,"",MIN(C5:D5))</f>
        <v>3</v>
      </c>
      <c r="C5" s="32">
        <v>3</v>
      </c>
      <c r="D5" s="32">
        <v>6</v>
      </c>
      <c r="F5" s="6" t="s">
        <v>9</v>
      </c>
      <c r="G5" s="12">
        <v>3</v>
      </c>
      <c r="H5" s="13">
        <f>COUNTIF(B4:B8,"=3")</f>
        <v>2</v>
      </c>
      <c r="I5" s="36">
        <f>(H5/SUM(H3:H8))*(1/G5)</f>
        <v>0.22222222222222221</v>
      </c>
    </row>
    <row r="6" spans="1:9" x14ac:dyDescent="0.25">
      <c r="A6" s="34">
        <v>2</v>
      </c>
      <c r="B6" s="37">
        <f>IF(MIN(C6:D6)=0,"",MIN(C6:D6))</f>
        <v>3</v>
      </c>
      <c r="C6" s="32">
        <v>3</v>
      </c>
      <c r="D6" s="32">
        <v>6</v>
      </c>
      <c r="F6" s="6" t="s">
        <v>10</v>
      </c>
      <c r="G6" s="12">
        <v>4</v>
      </c>
      <c r="H6" s="13">
        <f>COUNTIF(B4:B8,"=4")</f>
        <v>0</v>
      </c>
      <c r="I6" s="36">
        <f>(H6/SUM(H3:H8))*(1/G6)</f>
        <v>0</v>
      </c>
    </row>
    <row r="7" spans="1:9" x14ac:dyDescent="0.25">
      <c r="A7" s="34">
        <v>3</v>
      </c>
      <c r="B7" s="37">
        <f t="shared" ref="B7:B8" si="0">IF(MIN(C7:D7)=0,"",MIN(C7:D7))</f>
        <v>2</v>
      </c>
      <c r="C7" s="32">
        <v>2</v>
      </c>
      <c r="D7" s="32"/>
      <c r="F7" s="6" t="s">
        <v>11</v>
      </c>
      <c r="G7" s="12">
        <v>5</v>
      </c>
      <c r="H7" s="13">
        <f>COUNTIF(B4:B8,"=5")</f>
        <v>0</v>
      </c>
      <c r="I7" s="36">
        <f>(H7/SUM(H3:H8))*(1/G7)</f>
        <v>0</v>
      </c>
    </row>
    <row r="8" spans="1:9" x14ac:dyDescent="0.25">
      <c r="A8" s="34" t="s">
        <v>14</v>
      </c>
      <c r="B8" s="37" t="str">
        <f t="shared" si="0"/>
        <v/>
      </c>
      <c r="C8" s="32"/>
      <c r="D8" s="32"/>
      <c r="F8" s="10" t="s">
        <v>12</v>
      </c>
      <c r="G8" s="14">
        <v>6</v>
      </c>
      <c r="H8" s="15">
        <f>COUNTIF(B4:B8,"=6")</f>
        <v>0</v>
      </c>
      <c r="I8" s="36">
        <f>(H8/SUM(H3:H8))*(1/G8)</f>
        <v>0</v>
      </c>
    </row>
    <row r="9" spans="1:9" x14ac:dyDescent="0.25">
      <c r="F9" s="56" t="s">
        <v>81</v>
      </c>
      <c r="G9" s="57"/>
      <c r="H9" s="57"/>
      <c r="I9" s="38">
        <f>SUM(I3:I8)</f>
        <v>0.38888888888888884</v>
      </c>
    </row>
  </sheetData>
  <sheetProtection algorithmName="SHA-512" hashValue="CjsxO3Uq64TJdDHfke27U2yAuN/lKf2it+3izE3bM1CHHOtevj2AC5mfnYLv/tRFEsJJfqZfPZLYFsFCq7Sigw==" saltValue="6nOwEz3YRPvmufpV8nW46w==" spinCount="100000" sheet="1" selectLockedCells="1"/>
  <mergeCells count="5">
    <mergeCell ref="B1:D1"/>
    <mergeCell ref="B2:B3"/>
    <mergeCell ref="C2:D2"/>
    <mergeCell ref="A1:A3"/>
    <mergeCell ref="F9:H9"/>
  </mergeCells>
  <dataValidations count="1">
    <dataValidation type="list" allowBlank="1" showInputMessage="1" showErrorMessage="1" sqref="C4:D8" xr:uid="{6799F471-0475-47AD-AAD6-2DC4CD8E3891}">
      <formula1>$G$3:$G$8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Summary</vt:lpstr>
      <vt:lpstr>Worksheet</vt:lpstr>
      <vt:lpstr>Homework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John Quijano</dc:creator>
  <cp:lastModifiedBy>Quijano, Alex John</cp:lastModifiedBy>
  <dcterms:created xsi:type="dcterms:W3CDTF">2015-06-05T18:17:20Z</dcterms:created>
  <dcterms:modified xsi:type="dcterms:W3CDTF">2026-05-01T18:34:44Z</dcterms:modified>
</cp:coreProperties>
</file>