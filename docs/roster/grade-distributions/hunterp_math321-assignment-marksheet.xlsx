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EC810BD1-46D3-40C3-93FB-83F7718BAEB1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<sst xmlns="http://schemas.openxmlformats.org/spreadsheetml/2006/main" count="107" uniqueCount="87">
  <si>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</si>
  <si>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</si>
  <si>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</si>
  <si>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</si>
  <si>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</si>
  <si>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</si>
  <si>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</si>
  <si>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</si>
  <si>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</si>
  <si>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</si>
  <si>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</si>
  <si>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</si>
  <si>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</si>
  <si>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</si>
  <si>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</si>
  <si>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</si>
  <si>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</si>
  <si>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</si>
  <si>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</si>
  <si>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</si>
  <si>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</si>
  <si>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</si>
  <si>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</si>
  <si>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</si>
  <si>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</si>
  <si>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</si>
  <si>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</si>
  <si>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</si>
  <si>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</si>
  <si>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</si>
  <si>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</si>
  <si>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</si>
  <si>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</si>
  <si>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</si>
  <si>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</si>
  <si>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</si>
  <si>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</si>
  <si>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</si>
  <si>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</si>
  <si>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</si>
  <si>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</si>
  <si>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</si>
  <si>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</si>
  <si>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</si>
  <si>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</si>
  <si>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</si>
  <si>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</si>
  <si>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</si>
  <si>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</si>
  <si>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</si>
  <si>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</si>
  <si>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</si>
  <si>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</si>
  <si>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</si>
  <si>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</si>
  <si>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</si>
  <si>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</si>
  <si>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</si>
  <si>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</si>
  <si>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</si>
  <si>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</si>
  <si>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</si>
  <si>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</si>
  <si>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</si>
  <si>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</si>
  <si>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</si>
  <si>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</si>
  <si>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</si>
  <si>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</si>
  <si>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</si>
  <si>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</si>
  <si>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</si>
  <si>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</si>
  <si>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</si>
  <si>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</si>
  <si>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</si>
  <si>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</si>
  <si>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</si>
  <si>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</si>
  <si>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</si>
  <si>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</si>
  <si>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</si>
  <si>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</si>
  <si>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</si>
  <si>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</si>
  <si>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</si>
  <si>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Hunter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</si>
</sst>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7" t="s">
        <v>29</v>
      </c>
      <c r="B1" s="47"/>
      <c r="C1" s="47"/>
      <c r="D1" s="47"/>
    </row>
    <row r="2" spans="1:4" x14ac:dyDescent="0.25">
      <c r="A2" s="48" t="s">
        <v>86</v>
      </c>
      <c r="B2" s="48"/>
      <c r="C2" s="48"/>
      <c r="D2" s="48"/>
    </row>
    <row r="4" spans="1:4" ht="15.75" thickBot="1" x14ac:dyDescent="0.3">
      <c r="A4" s="27" t="s">
        <v>18</v>
      </c>
      <c r="C4" s="46" t="s">
        <v>23</v>
      </c>
      <c r="D4" s="46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1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0.5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0.86956521739130432</v>
      </c>
      <c r="D3" s="22"/>
      <c r="E3" s="1"/>
    </row>
    <row r="4" spans="1:5" x14ac:dyDescent="0.25">
      <c r="A4" s="23" t="s">
        <v>78</v>
      </c>
      <c r="B4" s="41">
        <f>B1*(1/1)+B2*(1/2)+B3*(1/3)</f>
        <v>1.5398550724637681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0.93985507246376809</v>
      </c>
      <c r="D5" s="44" t="str">
        <f>IF(B4&gt;=1.506,"A-,A",IF(B4&gt;=0.92,"B-,B,B+",IF(B4&gt;=0.677,"C-,C,C+",IF(B4&gt;=0.548,"D-,D,D+","F"))))</f>
        <v>A-,A</v>
      </c>
      <c r="E5" s="45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12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20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0.86956521739130432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1</v>
      </c>
      <c r="D6" s="43" t="s">
        <v>2</v>
      </c>
      <c r="E6" s="43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1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0</v>
      </c>
    </row>
    <row r="12" spans="1:5" x14ac:dyDescent="0.25">
      <c r="A12" s="33" t="s">
        <v>44</v>
      </c>
      <c r="B12" s="30">
        <v>1</v>
      </c>
    </row>
    <row r="13" spans="1:5" x14ac:dyDescent="0.25">
      <c r="A13" s="33" t="s">
        <v>45</v>
      </c>
      <c r="B13" s="30">
        <v>1</v>
      </c>
    </row>
    <row r="14" spans="1:5" x14ac:dyDescent="0.25">
      <c r="A14" s="33" t="s">
        <v>46</v>
      </c>
      <c r="B14" s="30">
        <v>1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1</v>
      </c>
    </row>
    <row r="17" spans="1:2" x14ac:dyDescent="0.25">
      <c r="A17" s="33" t="s">
        <v>49</v>
      </c>
      <c r="B17" s="30">
        <v>1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1</v>
      </c>
    </row>
    <row r="20" spans="1:2" x14ac:dyDescent="0.25">
      <c r="A20" s="33" t="s">
        <v>52</v>
      </c>
      <c r="B20" s="30">
        <v>1</v>
      </c>
    </row>
    <row r="21" spans="1:2" x14ac:dyDescent="0.25">
      <c r="A21" s="33" t="s">
        <v>53</v>
      </c>
      <c r="B21" s="30">
        <v>0</v>
      </c>
    </row>
    <row r="22" spans="1:2" x14ac:dyDescent="0.25">
      <c r="A22" s="33" t="s">
        <v>58</v>
      </c>
      <c r="B22" s="30">
        <v>1</v>
      </c>
    </row>
    <row r="23" spans="1:2" x14ac:dyDescent="0.25">
      <c r="A23" s="33" t="s">
        <v>54</v>
      </c>
      <c r="B23" s="30">
        <v>1</v>
      </c>
    </row>
    <row r="24" spans="1:2" x14ac:dyDescent="0.25">
      <c r="A24" s="33" t="s">
        <v>59</v>
      </c>
      <c r="B24" s="30">
        <v>1</v>
      </c>
    </row>
    <row r="25" spans="1:2" x14ac:dyDescent="0.25">
      <c r="A25" s="33" t="s">
        <v>55</v>
      </c>
      <c r="B25" s="30">
        <v>1</v>
      </c>
    </row>
    <row r="26" spans="1:2" x14ac:dyDescent="0.25">
      <c r="A26" s="33" t="s">
        <v>60</v>
      </c>
      <c r="B26" s="30">
        <v>0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0</v>
      </c>
      <c r="I3" s="16">
        <f>(H3/SUM(H3:H8))*(1/G3)</f>
        <v>0</v>
      </c>
    </row>
    <row r="4" spans="1:9" x14ac:dyDescent="0.25">
      <c r="A4" s="7">
        <v>1</v>
      </c>
      <c r="B4" s="11">
        <f t="shared" ref="B4:B9" si="0">IF(MIN(C4:D4)=0,"",MIN(C4:D4))</f>
        <v>2</v>
      </c>
      <c r="C4" s="31">
        <v>2</v>
      </c>
      <c r="D4" s="31">
        <v>6</v>
      </c>
      <c r="F4" s="6" t="s">
        <v>8</v>
      </c>
      <c r="G4" s="12">
        <v>2</v>
      </c>
      <c r="H4" s="13">
        <f>COUNTIF(B4:B9,"=2")</f>
        <v>4</v>
      </c>
      <c r="I4" s="16">
        <f>(H4/SUM(H3:H8))*(1/G4)</f>
        <v>0.5</v>
      </c>
    </row>
    <row r="5" spans="1:9" x14ac:dyDescent="0.25">
      <c r="A5" s="6">
        <v>2</v>
      </c>
      <c r="B5" s="11">
        <f t="shared" si="0"/>
        <v>2</v>
      </c>
      <c r="C5" s="31">
        <v>2</v>
      </c>
      <c r="D5" s="31">
        <v>6</v>
      </c>
      <c r="F5" s="6" t="s">
        <v>9</v>
      </c>
      <c r="G5" s="12">
        <v>3</v>
      </c>
      <c r="H5" s="13">
        <f>COUNTIF(B4:B9,"=3")</f>
        <v>0</v>
      </c>
      <c r="I5" s="16">
        <f>(H5/SUM(H3:H8))*(1/G5)</f>
        <v>0</v>
      </c>
    </row>
    <row r="6" spans="1:9" x14ac:dyDescent="0.25">
      <c r="A6" s="6">
        <v>3</v>
      </c>
      <c r="B6" s="11">
        <f t="shared" si="0"/>
        <v>2</v>
      </c>
      <c r="C6" s="31">
        <v>2</v>
      </c>
      <c r="D6" s="31">
        <v>6</v>
      </c>
      <c r="F6" s="6" t="s">
        <v>10</v>
      </c>
      <c r="G6" s="12">
        <v>4</v>
      </c>
      <c r="H6" s="13">
        <f>COUNTIF(B4:B9,"=4")</f>
        <v>0</v>
      </c>
      <c r="I6" s="16">
        <f>(H6/SUM(H3:H8))*(1/G6)</f>
        <v>0</v>
      </c>
    </row>
    <row r="7" spans="1:9" x14ac:dyDescent="0.25">
      <c r="A7" s="6">
        <v>4</v>
      </c>
      <c r="B7" s="11">
        <f t="shared" si="0"/>
        <v>2</v>
      </c>
      <c r="C7" s="31">
        <v>2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0</v>
      </c>
      <c r="I8" s="16">
        <f>(H8/SUM(H3:H8))*(1/G8)</f>
        <v>0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0.5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3</v>
      </c>
      <c r="I3" s="36">
        <f>(H3/SUM(H3:H8))*(1/G3)</f>
        <v>1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0</v>
      </c>
      <c r="I4" s="36">
        <f>(H4/SUM(H3:H8))*(1/G4)</f>
        <v>0</v>
      </c>
    </row>
    <row r="5" spans="1:9" x14ac:dyDescent="0.25">
      <c r="A5" s="34">
        <v>1</v>
      </c>
      <c r="B5" s="37">
        <f>IF(MIN(C5:D5)=0,"",MIN(C5:D5))</f>
        <v>1</v>
      </c>
      <c r="C5" s="32">
        <v>1</v>
      </c>
      <c r="D5" s="32">
        <v>6</v>
      </c>
      <c r="F5" s="6" t="s">
        <v>9</v>
      </c>
      <c r="G5" s="12">
        <v>3</v>
      </c>
      <c r="H5" s="13">
        <f>COUNTIF(B4:B8,"=3")</f>
        <v>0</v>
      </c>
      <c r="I5" s="36">
        <f>(H5/SUM(H3:H8))*(1/G5)</f>
        <v>0</v>
      </c>
    </row>
    <row r="6" spans="1:9" x14ac:dyDescent="0.25">
      <c r="A6" s="34">
        <v>2</v>
      </c>
      <c r="B6" s="37">
        <f>IF(MIN(C6:D6)=0,"",MIN(C6:D6))</f>
        <v>1</v>
      </c>
      <c r="C6" s="32">
        <v>1</v>
      </c>
      <c r="D6" s="32">
        <v>6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1</v>
      </c>
      <c r="C7" s="32">
        <v>1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1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2026-05-01T18:03:50Z</dcterms:modified>
</cp:coreProperties>
</file>