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F80DDABF-3A8F-404A-9947-293F78C59202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<sst xmlns="http://schemas.openxmlformats.org/spreadsheetml/2006/main" count="107" uniqueCount="87">
  <si>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</si>
  <si>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</si>
  <si>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</si>
  <si>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</si>
  <si>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</si>
  <si>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</si>
  <si>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</si>
  <si>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</si>
  <si>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</si>
  <si>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</si>
  <si>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</si>
  <si>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</si>
  <si>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</si>
  <si>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</si>
  <si>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</si>
  <si>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</si>
  <si>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</si>
  <si>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</si>
  <si>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</si>
  <si>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</si>
  <si>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</si>
  <si>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</si>
  <si>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</si>
  <si>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</si>
  <si>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</si>
  <si>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</si>
  <si>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</si>
  <si>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</si>
  <si>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</si>
  <si>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</si>
  <si>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</si>
  <si>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</si>
  <si>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</si>
  <si>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</si>
  <si>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</si>
  <si>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</si>
  <si>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</si>
  <si>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</si>
  <si>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</si>
  <si>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</si>
  <si>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</si>
  <si>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</si>
  <si>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</si>
  <si>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</si>
  <si>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</si>
  <si>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</si>
  <si>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</si>
  <si>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</si>
  <si>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</si>
  <si>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</si>
  <si>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</si>
  <si>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</si>
  <si>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</si>
  <si>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</si>
  <si>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</si>
  <si>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</si>
  <si>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</si>
  <si>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</si>
  <si>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</si>
  <si>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</si>
  <si>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</si>
  <si>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</si>
  <si>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</si>
  <si>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</si>
  <si>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</si>
  <si>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</si>
  <si>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</si>
  <si>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</si>
  <si>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</si>
  <si>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</si>
  <si>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</si>
  <si>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</si>
  <si>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</si>
  <si>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</si>
  <si>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</si>
  <si>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</si>
  <si>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</si>
  <si>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</si>
  <si>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</si>
  <si>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</si>
  <si>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</si>
  <si>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</si>
  <si>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</si>
  <si>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</si>
  <si>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</si>
  <si>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</si>
  <si>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Jayden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</si>
</sst>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0.61111111111111116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0.3125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0.34782608695652173</v>
      </c>
      <c r="D3" s="22"/>
      <c r="E3" s="1"/>
    </row>
    <row r="4" spans="1:5" x14ac:dyDescent="0.25">
      <c r="A4" s="23" t="s">
        <v>78</v>
      </c>
      <c r="B4" s="41">
        <f>B1*(1/1)+B2*(1/2)+B3*(1/3)</f>
        <v>0.88330314009661837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0.28330314009661839</v>
      </c>
      <c r="D5" s="44" t="str">
        <f>IF(B4&gt;=1.506,"A-,A",IF(B4&gt;=0.92,"B-,B,B+",IF(B4&gt;=0.677,"C-,C,C+",IF(B4&gt;=0.548,"D-,D,D+","F"))))</f>
        <v>C-,C,C+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8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0.34782608695652173</v>
      </c>
    </row>
    <row r="5" spans="1:5" x14ac:dyDescent="0.25">
      <c r="A5" s="33" t="s">
        <v>37</v>
      </c>
      <c r="B5" s="30">
        <v>0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0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0</v>
      </c>
    </row>
    <row r="10" spans="1:5" x14ac:dyDescent="0.25">
      <c r="A10" s="33" t="s">
        <v>42</v>
      </c>
      <c r="B10" s="30">
        <v>0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0</v>
      </c>
    </row>
    <row r="14" spans="1:5" x14ac:dyDescent="0.25">
      <c r="A14" s="33" t="s">
        <v>46</v>
      </c>
      <c r="B14" s="30">
        <v>0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0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0</v>
      </c>
    </row>
    <row r="22" spans="1:2" x14ac:dyDescent="0.25">
      <c r="A22" s="33" t="s">
        <v>58</v>
      </c>
      <c r="B22" s="30">
        <v>0</v>
      </c>
    </row>
    <row r="23" spans="1:2" x14ac:dyDescent="0.25">
      <c r="A23" s="33" t="s">
        <v>54</v>
      </c>
      <c r="B23" s="30">
        <v>0</v>
      </c>
    </row>
    <row r="24" spans="1:2" x14ac:dyDescent="0.25">
      <c r="A24" s="33" t="s">
        <v>59</v>
      </c>
      <c r="B24" s="30">
        <v>0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3</v>
      </c>
      <c r="C4" s="31">
        <v>3</v>
      </c>
      <c r="D4" s="31">
        <v>6</v>
      </c>
      <c r="F4" s="6" t="s">
        <v>8</v>
      </c>
      <c r="G4" s="12">
        <v>2</v>
      </c>
      <c r="H4" s="13">
        <f>COUNTIF(B4:B9,"=2")</f>
        <v>0</v>
      </c>
      <c r="I4" s="16">
        <f>(H4/SUM(H3:H8))*(1/G4)</f>
        <v>0</v>
      </c>
    </row>
    <row r="5" spans="1:9" x14ac:dyDescent="0.25">
      <c r="A5" s="6">
        <v>2</v>
      </c>
      <c r="B5" s="11">
        <f t="shared" si="0"/>
        <v>4</v>
      </c>
      <c r="C5" s="31">
        <v>4</v>
      </c>
      <c r="D5" s="31">
        <v>6</v>
      </c>
      <c r="F5" s="6" t="s">
        <v>9</v>
      </c>
      <c r="G5" s="12">
        <v>3</v>
      </c>
      <c r="H5" s="13">
        <f>COUNTIF(B4:B9,"=3")</f>
        <v>3</v>
      </c>
      <c r="I5" s="16">
        <f>(H5/SUM(H3:H8))*(1/G5)</f>
        <v>0.25</v>
      </c>
    </row>
    <row r="6" spans="1:9" x14ac:dyDescent="0.25">
      <c r="A6" s="6">
        <v>3</v>
      </c>
      <c r="B6" s="11">
        <f t="shared" si="0"/>
        <v>3</v>
      </c>
      <c r="C6" s="31">
        <v>3</v>
      </c>
      <c r="D6" s="31">
        <v>6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3</v>
      </c>
      <c r="C7" s="31">
        <v>3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0.3125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1</v>
      </c>
      <c r="I5" s="36">
        <f>(H5/SUM(H3:H8))*(1/G5)</f>
        <v>0.1111111111111111</v>
      </c>
    </row>
    <row r="6" spans="1:9" x14ac:dyDescent="0.25">
      <c r="A6" s="34">
        <v>2</v>
      </c>
      <c r="B6" s="37">
        <f>IF(MIN(C6:D6)=0,"",MIN(C6:D6))</f>
        <v>3</v>
      </c>
      <c r="C6" s="32">
        <v>6</v>
      </c>
      <c r="D6" s="32">
        <v>3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0.61111111111111116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2026-05-01T18:26:12Z</dcterms:modified>
</cp:coreProperties>
</file>