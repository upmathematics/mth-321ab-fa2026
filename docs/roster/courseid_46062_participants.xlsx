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"/>
    </mc:Choice>
  </mc:AlternateContent>
  <xr:revisionPtr revIDLastSave="0" documentId="13_ncr:1_{B7E1EAED-A2CC-447E-81F1-574FAEB72C9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ttendance" sheetId="1" r:id="rId1"/>
    <sheet name="grades" sheetId="6" r:id="rId2"/>
    <sheet name="hw1" sheetId="2" r:id="rId3"/>
    <sheet name="hw2" sheetId="3" r:id="rId4"/>
    <sheet name="hw3" sheetId="4" r:id="rId5"/>
    <sheet name="hw4" sheetId="5" r:id="rId6"/>
  </sheets>
  <definedNames>
    <definedName name="_xlnm._FilterDatabase" localSheetId="0" hidden="1">attendance!$A$1:$J$28</definedName>
    <definedName name="_xlnm._FilterDatabase" localSheetId="1" hidden="1">grades!$A$1:$U$28</definedName>
    <definedName name="_xlnm._FilterDatabase" localSheetId="2" hidden="1">'hw1'!$A$1:$M$28</definedName>
    <definedName name="_xlnm._FilterDatabase" localSheetId="3" hidden="1">'hw2'!$A$1:$M$28</definedName>
    <definedName name="_xlnm._FilterDatabase" localSheetId="4" hidden="1">'hw3'!$A$1:$M$28</definedName>
    <definedName name="_xlnm._FilterDatabase" localSheetId="5" hidden="1">'hw4'!$A$1:$G$28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6" l="1"/>
  <c r="P2" i="6"/>
  <c r="J2" i="6"/>
  <c r="K2" i="6" s="1"/>
  <c r="R2" i="6" l="1"/>
  <c r="T2" i="6" s="1"/>
  <c r="U2" i="6" s="1"/>
  <c r="P24" i="6"/>
  <c r="P14" i="6"/>
  <c r="P28" i="6"/>
  <c r="P3" i="6"/>
  <c r="P21" i="6"/>
  <c r="P17" i="6"/>
  <c r="P15" i="6"/>
  <c r="P5" i="6"/>
  <c r="P19" i="6"/>
  <c r="P12" i="6"/>
  <c r="P16" i="6"/>
  <c r="P22" i="6"/>
  <c r="P20" i="6"/>
  <c r="P8" i="6"/>
  <c r="P25" i="6"/>
  <c r="P7" i="6"/>
  <c r="P27" i="6"/>
  <c r="P23" i="6"/>
  <c r="P6" i="6"/>
  <c r="P11" i="6"/>
  <c r="P13" i="6"/>
  <c r="P26" i="6"/>
  <c r="P10" i="6"/>
  <c r="P18" i="6"/>
  <c r="P9" i="6"/>
  <c r="Q24" i="6"/>
  <c r="Q14" i="6"/>
  <c r="Q28" i="6"/>
  <c r="Q3" i="6"/>
  <c r="Q21" i="6"/>
  <c r="Q17" i="6"/>
  <c r="Q15" i="6"/>
  <c r="R15" i="6" s="1"/>
  <c r="T15" i="6" s="1"/>
  <c r="U15" i="6" s="1"/>
  <c r="Q5" i="6"/>
  <c r="Q19" i="6"/>
  <c r="Q12" i="6"/>
  <c r="Q16" i="6"/>
  <c r="R16" i="6" s="1"/>
  <c r="T16" i="6" s="1"/>
  <c r="U16" i="6" s="1"/>
  <c r="Q22" i="6"/>
  <c r="Q20" i="6"/>
  <c r="Q8" i="6"/>
  <c r="Q25" i="6"/>
  <c r="Q7" i="6"/>
  <c r="Q27" i="6"/>
  <c r="Q23" i="6"/>
  <c r="Q6" i="6"/>
  <c r="Q11" i="6"/>
  <c r="Q13" i="6"/>
  <c r="Q26" i="6"/>
  <c r="Q10" i="6"/>
  <c r="Q18" i="6"/>
  <c r="Q9" i="6"/>
  <c r="K4" i="6"/>
  <c r="J9" i="6"/>
  <c r="K9" i="6" s="1"/>
  <c r="J11" i="6"/>
  <c r="K11" i="6" s="1"/>
  <c r="J17" i="6"/>
  <c r="K17" i="6" s="1"/>
  <c r="J5" i="6"/>
  <c r="K5" i="6" s="1"/>
  <c r="J16" i="6"/>
  <c r="K16" i="6" s="1"/>
  <c r="J18" i="6"/>
  <c r="K18" i="6" s="1"/>
  <c r="J15" i="6"/>
  <c r="K15" i="6" s="1"/>
  <c r="J27" i="6"/>
  <c r="K27" i="6" s="1"/>
  <c r="J12" i="6"/>
  <c r="K12" i="6" s="1"/>
  <c r="J25" i="6"/>
  <c r="K25" i="6" s="1"/>
  <c r="J26" i="6"/>
  <c r="K26" i="6" s="1"/>
  <c r="J19" i="6"/>
  <c r="K19" i="6" s="1"/>
  <c r="J6" i="6"/>
  <c r="K6" i="6" s="1"/>
  <c r="J21" i="6"/>
  <c r="K21" i="6" s="1"/>
  <c r="J28" i="6"/>
  <c r="K28" i="6" s="1"/>
  <c r="J24" i="6"/>
  <c r="K24" i="6" s="1"/>
  <c r="J7" i="6"/>
  <c r="K7" i="6" s="1"/>
  <c r="J22" i="6"/>
  <c r="K22" i="6" s="1"/>
  <c r="J3" i="6"/>
  <c r="K3" i="6" s="1"/>
  <c r="J10" i="6"/>
  <c r="K10" i="6" s="1"/>
  <c r="J8" i="6"/>
  <c r="K8" i="6" s="1"/>
  <c r="J13" i="6"/>
  <c r="K13" i="6" s="1"/>
  <c r="J23" i="6"/>
  <c r="K23" i="6" s="1"/>
  <c r="J20" i="6"/>
  <c r="K20" i="6" s="1"/>
  <c r="J14" i="6"/>
  <c r="K14" i="6" s="1"/>
  <c r="R11" i="6" l="1"/>
  <c r="S11" i="6" s="1"/>
  <c r="R3" i="6"/>
  <c r="S3" i="6" s="1"/>
  <c r="R12" i="6"/>
  <c r="S12" i="6" s="1"/>
  <c r="R26" i="6"/>
  <c r="S26" i="6" s="1"/>
  <c r="R18" i="6"/>
  <c r="T18" i="6" s="1"/>
  <c r="U18" i="6" s="1"/>
  <c r="R10" i="6"/>
  <c r="S10" i="6" s="1"/>
  <c r="R25" i="6"/>
  <c r="T25" i="6" s="1"/>
  <c r="U25" i="6" s="1"/>
  <c r="R9" i="6"/>
  <c r="S9" i="6" s="1"/>
  <c r="R5" i="6"/>
  <c r="T5" i="6" s="1"/>
  <c r="U5" i="6" s="1"/>
  <c r="R6" i="6"/>
  <c r="T6" i="6" s="1"/>
  <c r="U6" i="6" s="1"/>
  <c r="R20" i="6"/>
  <c r="T20" i="6" s="1"/>
  <c r="U20" i="6" s="1"/>
  <c r="R28" i="6"/>
  <c r="S28" i="6" s="1"/>
  <c r="R27" i="6"/>
  <c r="T27" i="6" s="1"/>
  <c r="U27" i="6" s="1"/>
  <c r="R19" i="6"/>
  <c r="T19" i="6" s="1"/>
  <c r="U19" i="6" s="1"/>
  <c r="R22" i="6"/>
  <c r="T22" i="6" s="1"/>
  <c r="U22" i="6" s="1"/>
  <c r="T10" i="6"/>
  <c r="U10" i="6" s="1"/>
  <c r="R14" i="6"/>
  <c r="T14" i="6" s="1"/>
  <c r="U14" i="6" s="1"/>
  <c r="R7" i="6"/>
  <c r="T7" i="6" s="1"/>
  <c r="U7" i="6" s="1"/>
  <c r="R23" i="6"/>
  <c r="S23" i="6" s="1"/>
  <c r="S25" i="6"/>
  <c r="R21" i="6"/>
  <c r="S21" i="6" s="1"/>
  <c r="R8" i="6"/>
  <c r="T8" i="6" s="1"/>
  <c r="U8" i="6" s="1"/>
  <c r="R13" i="6"/>
  <c r="S13" i="6" s="1"/>
  <c r="R24" i="6"/>
  <c r="S24" i="6" s="1"/>
  <c r="R17" i="6"/>
  <c r="T17" i="6" s="1"/>
  <c r="U17" i="6" s="1"/>
  <c r="T3" i="6"/>
  <c r="U3" i="6" s="1"/>
  <c r="T12" i="6"/>
  <c r="U12" i="6" s="1"/>
  <c r="S18" i="6"/>
  <c r="S16" i="6"/>
  <c r="S15" i="6"/>
  <c r="T11" i="6"/>
  <c r="U11" i="6" s="1"/>
  <c r="S6" i="6"/>
  <c r="I17" i="6"/>
  <c r="I2" i="6"/>
  <c r="I5" i="6"/>
  <c r="I16" i="6"/>
  <c r="I18" i="6"/>
  <c r="I15" i="6"/>
  <c r="I9" i="6"/>
  <c r="I27" i="6"/>
  <c r="I12" i="6"/>
  <c r="I25" i="6"/>
  <c r="I26" i="6"/>
  <c r="I19" i="6"/>
  <c r="I6" i="6"/>
  <c r="I21" i="6"/>
  <c r="I28" i="6"/>
  <c r="I24" i="6"/>
  <c r="I7" i="6"/>
  <c r="I22" i="6"/>
  <c r="I3" i="6"/>
  <c r="I10" i="6"/>
  <c r="I8" i="6"/>
  <c r="I13" i="6"/>
  <c r="I23" i="6"/>
  <c r="I20" i="6"/>
  <c r="I14" i="6"/>
  <c r="I11" i="6"/>
  <c r="S5" i="6" l="1"/>
  <c r="T26" i="6"/>
  <c r="U26" i="6" s="1"/>
  <c r="S14" i="6"/>
  <c r="T23" i="6"/>
  <c r="U23" i="6" s="1"/>
  <c r="S19" i="6"/>
  <c r="S20" i="6"/>
  <c r="T28" i="6"/>
  <c r="U28" i="6" s="1"/>
  <c r="S27" i="6"/>
  <c r="S22" i="6"/>
  <c r="T9" i="6"/>
  <c r="U9" i="6" s="1"/>
  <c r="S7" i="6"/>
  <c r="T21" i="6"/>
  <c r="U21" i="6" s="1"/>
  <c r="T24" i="6"/>
  <c r="U24" i="6" s="1"/>
  <c r="T13" i="6"/>
  <c r="U13" i="6" s="1"/>
  <c r="S8" i="6"/>
  <c r="S17" i="6"/>
  <c r="S2" i="6"/>
  <c r="F3" i="5"/>
  <c r="F4" i="5"/>
  <c r="F5" i="5"/>
  <c r="F6" i="5"/>
  <c r="F7" i="5"/>
  <c r="F10" i="5"/>
  <c r="F12" i="5"/>
  <c r="F13" i="5"/>
  <c r="F14" i="5"/>
  <c r="F15" i="5"/>
  <c r="F16" i="5"/>
  <c r="F17" i="5"/>
  <c r="F18" i="5"/>
  <c r="F19" i="5"/>
  <c r="F20" i="5"/>
  <c r="F21" i="5"/>
  <c r="F22" i="5"/>
  <c r="F23" i="5"/>
  <c r="F25" i="5"/>
  <c r="F26" i="5"/>
  <c r="F27" i="5"/>
  <c r="F28" i="5"/>
  <c r="F2" i="5"/>
  <c r="J4" i="4"/>
  <c r="K4" i="4"/>
  <c r="L4" i="4" s="1"/>
  <c r="J25" i="4"/>
  <c r="K25" i="4"/>
  <c r="L25" i="4"/>
  <c r="J26" i="4"/>
  <c r="K26" i="4"/>
  <c r="L26" i="4"/>
  <c r="J27" i="4"/>
  <c r="K27" i="4"/>
  <c r="L27" i="4"/>
  <c r="L2" i="4"/>
  <c r="K2" i="4"/>
  <c r="J2" i="4"/>
  <c r="F3" i="4"/>
  <c r="F4" i="4"/>
  <c r="F5" i="4"/>
  <c r="F7" i="4"/>
  <c r="F8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5" i="4"/>
  <c r="F26" i="4"/>
  <c r="F27" i="4"/>
  <c r="F28" i="4"/>
  <c r="F2" i="4"/>
  <c r="J8" i="3"/>
  <c r="L8" i="3" s="1"/>
  <c r="K8" i="3"/>
  <c r="J6" i="3"/>
  <c r="K6" i="3"/>
  <c r="J10" i="3"/>
  <c r="K10" i="3"/>
  <c r="J13" i="3"/>
  <c r="K13" i="3"/>
  <c r="L13" i="3" s="1"/>
  <c r="J14" i="3"/>
  <c r="K14" i="3"/>
  <c r="L14" i="3"/>
  <c r="J20" i="3"/>
  <c r="K20" i="3"/>
  <c r="L20" i="3"/>
  <c r="J21" i="3"/>
  <c r="K21" i="3"/>
  <c r="J22" i="3"/>
  <c r="L22" i="3" s="1"/>
  <c r="K22" i="3"/>
  <c r="J23" i="3"/>
  <c r="K23" i="3"/>
  <c r="L23" i="3"/>
  <c r="J25" i="3"/>
  <c r="K25" i="3"/>
  <c r="L25" i="3"/>
  <c r="J26" i="3"/>
  <c r="K26" i="3"/>
  <c r="J27" i="3"/>
  <c r="K27" i="3"/>
  <c r="K2" i="3"/>
  <c r="J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5" i="3"/>
  <c r="F26" i="3"/>
  <c r="F27" i="3"/>
  <c r="F28" i="3"/>
  <c r="F2" i="3"/>
  <c r="J25" i="2"/>
  <c r="K25" i="2"/>
  <c r="L25" i="2" s="1"/>
  <c r="J19" i="2"/>
  <c r="K19" i="2"/>
  <c r="J20" i="2"/>
  <c r="K20" i="2"/>
  <c r="L20" i="2" s="1"/>
  <c r="J21" i="2"/>
  <c r="K21" i="2"/>
  <c r="L21" i="2"/>
  <c r="J12" i="2"/>
  <c r="K12" i="2"/>
  <c r="L12" i="2" s="1"/>
  <c r="J8" i="2"/>
  <c r="K8" i="2"/>
  <c r="J15" i="2"/>
  <c r="K15" i="2"/>
  <c r="J10" i="2"/>
  <c r="K10" i="2"/>
  <c r="J23" i="2"/>
  <c r="K23" i="2"/>
  <c r="L23" i="2" s="1"/>
  <c r="J2" i="2"/>
  <c r="L2" i="2" s="1"/>
  <c r="K6" i="2"/>
  <c r="J6" i="2"/>
  <c r="F12" i="2"/>
  <c r="F19" i="2"/>
  <c r="F18" i="2"/>
  <c r="F25" i="2"/>
  <c r="F16" i="2"/>
  <c r="F20" i="2"/>
  <c r="F11" i="2"/>
  <c r="F7" i="2"/>
  <c r="F24" i="2"/>
  <c r="F21" i="2"/>
  <c r="F8" i="2"/>
  <c r="F13" i="2"/>
  <c r="F22" i="2"/>
  <c r="F3" i="2"/>
  <c r="F14" i="2"/>
  <c r="F9" i="2"/>
  <c r="F4" i="2"/>
  <c r="F15" i="2"/>
  <c r="F10" i="2"/>
  <c r="F23" i="2"/>
  <c r="F2" i="2"/>
  <c r="F5" i="2"/>
  <c r="F17" i="2"/>
  <c r="F6" i="2"/>
  <c r="L6" i="3" l="1"/>
  <c r="L2" i="3"/>
  <c r="L26" i="3"/>
  <c r="L10" i="3"/>
  <c r="L27" i="3"/>
  <c r="L21" i="3"/>
  <c r="L15" i="2"/>
  <c r="L19" i="2"/>
  <c r="L10" i="2"/>
  <c r="L8" i="2"/>
  <c r="L6" i="2"/>
</calcChain>
</file>

<file path=xl/sharedStrings.xml><?xml version="1.0" encoding="utf-8"?>
<sst xmlns="http://schemas.openxmlformats.org/spreadsheetml/2006/main" count="857" uniqueCount="137">
  <si>
    <t>Bodie</t>
  </si>
  <si>
    <t>Alderson</t>
  </si>
  <si>
    <t>alderson29@up.edu</t>
  </si>
  <si>
    <t>Alia</t>
  </si>
  <si>
    <t>Benson</t>
  </si>
  <si>
    <t>benson29@up.edu</t>
  </si>
  <si>
    <t>Ethan</t>
  </si>
  <si>
    <t>Bohac</t>
  </si>
  <si>
    <t>bohac29@up.edu</t>
  </si>
  <si>
    <t>Kane</t>
  </si>
  <si>
    <t>Borja</t>
  </si>
  <si>
    <t>borjak28@up.edu</t>
  </si>
  <si>
    <t>Rebecca</t>
  </si>
  <si>
    <t>Brinker</t>
  </si>
  <si>
    <t>brinker29@up.edu</t>
  </si>
  <si>
    <t>Zoe</t>
  </si>
  <si>
    <t>Burgis</t>
  </si>
  <si>
    <t>burgis28@up.edu</t>
  </si>
  <si>
    <t>Nikos</t>
  </si>
  <si>
    <t>Clarke-Tosczak</t>
  </si>
  <si>
    <t>clarketo27@up.edu</t>
  </si>
  <si>
    <t>Creighton</t>
  </si>
  <si>
    <t>Cox</t>
  </si>
  <si>
    <t>cox29@up.edu</t>
  </si>
  <si>
    <t>Camille</t>
  </si>
  <si>
    <t>Dake</t>
  </si>
  <si>
    <t>dake29@up.edu</t>
  </si>
  <si>
    <t>Cade</t>
  </si>
  <si>
    <t>Fore</t>
  </si>
  <si>
    <t>fore27@up.edu</t>
  </si>
  <si>
    <t>Asael</t>
  </si>
  <si>
    <t>Garcia</t>
  </si>
  <si>
    <t>garciaas28@up.edu</t>
  </si>
  <si>
    <t>Chase</t>
  </si>
  <si>
    <t>Hochstein</t>
  </si>
  <si>
    <t>hochstei29@up.edu</t>
  </si>
  <si>
    <t>Grace</t>
  </si>
  <si>
    <t>Ireland</t>
  </si>
  <si>
    <t>ireland27@up.edu</t>
  </si>
  <si>
    <t>Samuel</t>
  </si>
  <si>
    <t>Koehler</t>
  </si>
  <si>
    <t>koehlers28@up.edu</t>
  </si>
  <si>
    <t>Isael</t>
  </si>
  <si>
    <t>Lozano Trujillo</t>
  </si>
  <si>
    <t>lozanotr28@up.edu</t>
  </si>
  <si>
    <t>Justin</t>
  </si>
  <si>
    <t>Nelson</t>
  </si>
  <si>
    <t>nelsonj28@up.edu</t>
  </si>
  <si>
    <t>Hunter</t>
  </si>
  <si>
    <t>Parrish</t>
  </si>
  <si>
    <t>parrishh29@up.edu</t>
  </si>
  <si>
    <t>Josie</t>
  </si>
  <si>
    <t>Patton</t>
  </si>
  <si>
    <t>pattonj27@up.edu</t>
  </si>
  <si>
    <t>Jaylynn</t>
  </si>
  <si>
    <t>Ponn</t>
  </si>
  <si>
    <t>ponn28@up.edu</t>
  </si>
  <si>
    <t>Maggie</t>
  </si>
  <si>
    <t>Prevish</t>
  </si>
  <si>
    <t>prevish29@up.edu</t>
  </si>
  <si>
    <t>Daniel</t>
  </si>
  <si>
    <t>Rojas</t>
  </si>
  <si>
    <t>rojas28@up.edu</t>
  </si>
  <si>
    <t>Keagan</t>
  </si>
  <si>
    <t>Saft</t>
  </si>
  <si>
    <t>saft29@up.edu</t>
  </si>
  <si>
    <t>Frank</t>
  </si>
  <si>
    <t>Sanchez-Santiago</t>
  </si>
  <si>
    <t>sanchezf28@up.edu</t>
  </si>
  <si>
    <t>Gianna</t>
  </si>
  <si>
    <t>Vitarelli</t>
  </si>
  <si>
    <t>vitarell28@up.edu</t>
  </si>
  <si>
    <t>Elizabeth</t>
  </si>
  <si>
    <t>Vossler</t>
  </si>
  <si>
    <t>vossler29@up.edu</t>
  </si>
  <si>
    <t>Jayden</t>
  </si>
  <si>
    <t>Zacharoff</t>
  </si>
  <si>
    <t>zacharof29@up.edu</t>
  </si>
  <si>
    <t>section</t>
  </si>
  <si>
    <t>email</t>
  </si>
  <si>
    <t>last</t>
  </si>
  <si>
    <t>first</t>
  </si>
  <si>
    <t>A</t>
  </si>
  <si>
    <t>B</t>
  </si>
  <si>
    <t>1/13</t>
  </si>
  <si>
    <t>X</t>
  </si>
  <si>
    <t>notes</t>
  </si>
  <si>
    <t>aes</t>
  </si>
  <si>
    <t>pre-requisite grade</t>
  </si>
  <si>
    <t>student type</t>
  </si>
  <si>
    <t>C</t>
  </si>
  <si>
    <t>C+</t>
  </si>
  <si>
    <t>A-</t>
  </si>
  <si>
    <t>C-</t>
  </si>
  <si>
    <t>prerequisites</t>
  </si>
  <si>
    <t>MTH-202</t>
  </si>
  <si>
    <t>1/15</t>
  </si>
  <si>
    <t>Sammy</t>
  </si>
  <si>
    <t>Pitchford</t>
  </si>
  <si>
    <t>pitchfor29@up.edu</t>
  </si>
  <si>
    <t>B+</t>
  </si>
  <si>
    <t>athlete</t>
  </si>
  <si>
    <t>aes, athlete</t>
  </si>
  <si>
    <t>1/20</t>
  </si>
  <si>
    <t>1/22</t>
  </si>
  <si>
    <t>attendance_notification</t>
  </si>
  <si>
    <t>1/23</t>
  </si>
  <si>
    <t>✓</t>
  </si>
  <si>
    <t>CP ✓</t>
  </si>
  <si>
    <t>total</t>
  </si>
  <si>
    <t>mark</t>
  </si>
  <si>
    <t>M</t>
  </si>
  <si>
    <t>E</t>
  </si>
  <si>
    <t>athlete, dropped</t>
  </si>
  <si>
    <t>✓ revisions</t>
  </si>
  <si>
    <t>CP ✓ revisions</t>
  </si>
  <si>
    <t>✓ total</t>
  </si>
  <si>
    <t>CP ✓ total</t>
  </si>
  <si>
    <t>total revisions</t>
  </si>
  <si>
    <t>mark revisions</t>
  </si>
  <si>
    <t>O</t>
  </si>
  <si>
    <t>NI</t>
  </si>
  <si>
    <t>NMI</t>
  </si>
  <si>
    <t>ranked score</t>
  </si>
  <si>
    <t>distance from score</t>
  </si>
  <si>
    <t>grade range</t>
  </si>
  <si>
    <t>overdue score</t>
  </si>
  <si>
    <t>optional score</t>
  </si>
  <si>
    <t>final grade</t>
  </si>
  <si>
    <t>grade</t>
  </si>
  <si>
    <t>overdue worksheet</t>
  </si>
  <si>
    <t>overdue homework</t>
  </si>
  <si>
    <t>optional worksheet</t>
  </si>
  <si>
    <t>optional homework</t>
  </si>
  <si>
    <t>final ranked score</t>
  </si>
  <si>
    <t>final distance from score</t>
  </si>
  <si>
    <t>final grade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</si>
</sst>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pane xSplit="2" topLeftCell="C1" activePane="topRight" state="frozen"/>
      <selection pane="topRight" activeCell="E16" sqref="E16"/>
    </sheetView>
  </sheetViews>
  <sheetFormatPr defaultRowHeight="15.75" x14ac:dyDescent="0.25"/>
  <cols>
    <col min="2" max="2" width="15.125" bestFit="1" customWidth="1"/>
    <col min="3" max="3" width="17.5" bestFit="1" customWidth="1"/>
    <col min="5" max="5" width="15.25" bestFit="1" customWidth="1"/>
    <col min="6" max="6" width="14.625" style="1" customWidth="1"/>
    <col min="7" max="7" width="13.5" bestFit="1" customWidth="1"/>
    <col min="8" max="8" width="18.5" bestFit="1" customWidth="1"/>
    <col min="9" max="9" width="13" bestFit="1" customWidth="1"/>
    <col min="10" max="10" width="9.375" style="1" bestFit="1" customWidth="1"/>
    <col min="11" max="19" width="9" style="1"/>
  </cols>
  <sheetData>
    <row r="1" spans="1:13" x14ac:dyDescent="0.25">
      <c r="A1" t="s">
        <v>81</v>
      </c>
      <c r="B1" t="s">
        <v>80</v>
      </c>
      <c r="C1" t="s">
        <v>79</v>
      </c>
      <c r="D1" t="s">
        <v>78</v>
      </c>
      <c r="E1" t="s">
        <v>86</v>
      </c>
      <c r="F1" s="1" t="s">
        <v>105</v>
      </c>
      <c r="G1" t="s">
        <v>94</v>
      </c>
      <c r="H1" t="s">
        <v>88</v>
      </c>
      <c r="I1" t="s">
        <v>89</v>
      </c>
      <c r="J1" s="1" t="s">
        <v>84</v>
      </c>
      <c r="K1" s="1" t="s">
        <v>96</v>
      </c>
      <c r="L1" s="1" t="s">
        <v>103</v>
      </c>
      <c r="M1" s="1" t="s">
        <v>104</v>
      </c>
    </row>
    <row r="2" spans="1:13" x14ac:dyDescent="0.25">
      <c r="A2" t="s">
        <v>0</v>
      </c>
      <c r="B2" t="s">
        <v>1</v>
      </c>
      <c r="C2" t="s">
        <v>2</v>
      </c>
      <c r="D2" t="s">
        <v>82</v>
      </c>
      <c r="E2" t="s">
        <v>101</v>
      </c>
      <c r="G2" t="s">
        <v>95</v>
      </c>
      <c r="H2" t="s">
        <v>82</v>
      </c>
      <c r="I2">
        <v>1</v>
      </c>
    </row>
    <row r="3" spans="1:13" x14ac:dyDescent="0.25">
      <c r="A3" t="s">
        <v>3</v>
      </c>
      <c r="B3" t="s">
        <v>4</v>
      </c>
      <c r="C3" t="s">
        <v>5</v>
      </c>
      <c r="D3" t="s">
        <v>83</v>
      </c>
      <c r="G3" t="s">
        <v>95</v>
      </c>
      <c r="H3" t="s">
        <v>82</v>
      </c>
      <c r="I3">
        <v>2</v>
      </c>
    </row>
    <row r="4" spans="1:13" x14ac:dyDescent="0.25">
      <c r="A4" t="s">
        <v>6</v>
      </c>
      <c r="B4" t="s">
        <v>7</v>
      </c>
      <c r="C4" t="s">
        <v>8</v>
      </c>
      <c r="D4" t="s">
        <v>83</v>
      </c>
      <c r="G4" t="s">
        <v>95</v>
      </c>
      <c r="H4" t="s">
        <v>82</v>
      </c>
      <c r="I4">
        <v>2</v>
      </c>
    </row>
    <row r="5" spans="1:13" x14ac:dyDescent="0.25">
      <c r="A5" t="s">
        <v>9</v>
      </c>
      <c r="B5" t="s">
        <v>10</v>
      </c>
      <c r="C5" t="s">
        <v>11</v>
      </c>
      <c r="D5" t="s">
        <v>82</v>
      </c>
      <c r="G5" t="s">
        <v>95</v>
      </c>
      <c r="H5" t="s">
        <v>91</v>
      </c>
      <c r="I5">
        <v>3</v>
      </c>
      <c r="L5" s="1" t="s">
        <v>85</v>
      </c>
    </row>
    <row r="6" spans="1:13" x14ac:dyDescent="0.25">
      <c r="A6" t="s">
        <v>12</v>
      </c>
      <c r="B6" t="s">
        <v>13</v>
      </c>
      <c r="C6" t="s">
        <v>14</v>
      </c>
      <c r="D6" t="s">
        <v>83</v>
      </c>
      <c r="G6" t="s">
        <v>95</v>
      </c>
      <c r="H6" t="s">
        <v>82</v>
      </c>
      <c r="I6">
        <v>1</v>
      </c>
    </row>
    <row r="7" spans="1:13" x14ac:dyDescent="0.25">
      <c r="A7" t="s">
        <v>15</v>
      </c>
      <c r="B7" t="s">
        <v>16</v>
      </c>
      <c r="C7" t="s">
        <v>17</v>
      </c>
      <c r="D7" t="s">
        <v>83</v>
      </c>
      <c r="E7" t="s">
        <v>87</v>
      </c>
      <c r="G7" t="s">
        <v>95</v>
      </c>
      <c r="H7" t="s">
        <v>91</v>
      </c>
      <c r="I7">
        <v>2</v>
      </c>
    </row>
    <row r="8" spans="1:13" x14ac:dyDescent="0.25">
      <c r="A8" t="s">
        <v>18</v>
      </c>
      <c r="B8" t="s">
        <v>19</v>
      </c>
      <c r="C8" t="s">
        <v>20</v>
      </c>
      <c r="D8" t="s">
        <v>82</v>
      </c>
      <c r="E8" t="s">
        <v>113</v>
      </c>
      <c r="F8" s="1" t="s">
        <v>106</v>
      </c>
      <c r="I8">
        <v>2</v>
      </c>
      <c r="J8" s="1" t="s">
        <v>85</v>
      </c>
      <c r="K8" s="1" t="s">
        <v>85</v>
      </c>
      <c r="L8" s="1" t="s">
        <v>85</v>
      </c>
      <c r="M8" s="1" t="s">
        <v>85</v>
      </c>
    </row>
    <row r="9" spans="1:13" x14ac:dyDescent="0.25">
      <c r="A9" t="s">
        <v>21</v>
      </c>
      <c r="B9" t="s">
        <v>22</v>
      </c>
      <c r="C9" t="s">
        <v>23</v>
      </c>
      <c r="D9" t="s">
        <v>83</v>
      </c>
      <c r="E9" t="s">
        <v>87</v>
      </c>
      <c r="G9" t="s">
        <v>95</v>
      </c>
      <c r="H9" t="s">
        <v>83</v>
      </c>
      <c r="I9">
        <v>2</v>
      </c>
    </row>
    <row r="10" spans="1:13" x14ac:dyDescent="0.25">
      <c r="A10" t="s">
        <v>24</v>
      </c>
      <c r="B10" t="s">
        <v>25</v>
      </c>
      <c r="C10" t="s">
        <v>26</v>
      </c>
      <c r="D10" t="s">
        <v>83</v>
      </c>
      <c r="G10" t="s">
        <v>95</v>
      </c>
      <c r="H10" t="s">
        <v>92</v>
      </c>
      <c r="I10">
        <v>2</v>
      </c>
    </row>
    <row r="11" spans="1:13" x14ac:dyDescent="0.25">
      <c r="A11" t="s">
        <v>27</v>
      </c>
      <c r="B11" t="s">
        <v>28</v>
      </c>
      <c r="C11" t="s">
        <v>29</v>
      </c>
      <c r="D11" t="s">
        <v>82</v>
      </c>
      <c r="G11" t="s">
        <v>95</v>
      </c>
      <c r="H11" t="s">
        <v>90</v>
      </c>
      <c r="I11">
        <v>3</v>
      </c>
      <c r="M11" s="1" t="s">
        <v>85</v>
      </c>
    </row>
    <row r="12" spans="1:13" x14ac:dyDescent="0.25">
      <c r="A12" t="s">
        <v>30</v>
      </c>
      <c r="B12" t="s">
        <v>31</v>
      </c>
      <c r="C12" t="s">
        <v>32</v>
      </c>
      <c r="D12" t="s">
        <v>83</v>
      </c>
      <c r="I12">
        <v>2</v>
      </c>
    </row>
    <row r="13" spans="1:13" x14ac:dyDescent="0.25">
      <c r="A13" t="s">
        <v>33</v>
      </c>
      <c r="B13" t="s">
        <v>34</v>
      </c>
      <c r="C13" t="s">
        <v>35</v>
      </c>
      <c r="D13" t="s">
        <v>83</v>
      </c>
      <c r="I13">
        <v>1</v>
      </c>
    </row>
    <row r="14" spans="1:13" x14ac:dyDescent="0.25">
      <c r="A14" t="s">
        <v>36</v>
      </c>
      <c r="B14" t="s">
        <v>37</v>
      </c>
      <c r="C14" t="s">
        <v>38</v>
      </c>
      <c r="D14" t="s">
        <v>83</v>
      </c>
      <c r="G14" t="s">
        <v>95</v>
      </c>
      <c r="H14" t="s">
        <v>82</v>
      </c>
      <c r="I14">
        <v>3</v>
      </c>
    </row>
    <row r="15" spans="1:13" x14ac:dyDescent="0.25">
      <c r="A15" t="s">
        <v>39</v>
      </c>
      <c r="B15" t="s">
        <v>40</v>
      </c>
      <c r="C15" t="s">
        <v>41</v>
      </c>
      <c r="D15" t="s">
        <v>83</v>
      </c>
      <c r="G15" t="s">
        <v>95</v>
      </c>
      <c r="H15" t="s">
        <v>82</v>
      </c>
      <c r="I15">
        <v>2</v>
      </c>
    </row>
    <row r="16" spans="1:13" x14ac:dyDescent="0.25">
      <c r="A16" t="s">
        <v>42</v>
      </c>
      <c r="B16" t="s">
        <v>43</v>
      </c>
      <c r="C16" t="s">
        <v>44</v>
      </c>
      <c r="D16" t="s">
        <v>83</v>
      </c>
      <c r="G16" t="s">
        <v>95</v>
      </c>
      <c r="H16" t="s">
        <v>82</v>
      </c>
      <c r="I16">
        <v>2</v>
      </c>
      <c r="M16" s="1" t="s">
        <v>85</v>
      </c>
    </row>
    <row r="17" spans="1:12" x14ac:dyDescent="0.25">
      <c r="A17" t="s">
        <v>45</v>
      </c>
      <c r="B17" t="s">
        <v>46</v>
      </c>
      <c r="C17" t="s">
        <v>47</v>
      </c>
      <c r="D17" t="s">
        <v>83</v>
      </c>
      <c r="E17" t="s">
        <v>101</v>
      </c>
    </row>
    <row r="18" spans="1:12" x14ac:dyDescent="0.25">
      <c r="A18" t="s">
        <v>48</v>
      </c>
      <c r="B18" t="s">
        <v>49</v>
      </c>
      <c r="C18" t="s">
        <v>50</v>
      </c>
      <c r="D18" t="s">
        <v>82</v>
      </c>
      <c r="G18" t="s">
        <v>95</v>
      </c>
      <c r="H18" t="s">
        <v>91</v>
      </c>
      <c r="I18">
        <v>2</v>
      </c>
    </row>
    <row r="19" spans="1:12" x14ac:dyDescent="0.25">
      <c r="A19" t="s">
        <v>51</v>
      </c>
      <c r="B19" t="s">
        <v>52</v>
      </c>
      <c r="C19" t="s">
        <v>53</v>
      </c>
      <c r="D19" t="s">
        <v>82</v>
      </c>
      <c r="E19" t="s">
        <v>102</v>
      </c>
      <c r="G19" t="s">
        <v>95</v>
      </c>
      <c r="H19" t="s">
        <v>91</v>
      </c>
      <c r="I19">
        <v>2</v>
      </c>
    </row>
    <row r="20" spans="1:12" x14ac:dyDescent="0.25">
      <c r="A20" t="s">
        <v>97</v>
      </c>
      <c r="B20" t="s">
        <v>98</v>
      </c>
      <c r="C20" t="s">
        <v>99</v>
      </c>
      <c r="D20" t="s">
        <v>83</v>
      </c>
      <c r="E20" t="s">
        <v>87</v>
      </c>
      <c r="G20" t="s">
        <v>95</v>
      </c>
      <c r="H20" t="s">
        <v>100</v>
      </c>
      <c r="I20">
        <v>2</v>
      </c>
      <c r="J20" s="1" t="s">
        <v>85</v>
      </c>
      <c r="K20" s="1" t="s">
        <v>85</v>
      </c>
    </row>
    <row r="21" spans="1:12" x14ac:dyDescent="0.25">
      <c r="A21" t="s">
        <v>54</v>
      </c>
      <c r="B21" t="s">
        <v>55</v>
      </c>
      <c r="C21" t="s">
        <v>56</v>
      </c>
      <c r="D21" t="s">
        <v>83</v>
      </c>
      <c r="E21" t="s">
        <v>87</v>
      </c>
      <c r="G21" t="s">
        <v>95</v>
      </c>
      <c r="H21" t="s">
        <v>93</v>
      </c>
      <c r="I21">
        <v>3</v>
      </c>
      <c r="J21" s="1" t="s">
        <v>85</v>
      </c>
    </row>
    <row r="22" spans="1:12" x14ac:dyDescent="0.25">
      <c r="A22" t="s">
        <v>57</v>
      </c>
      <c r="B22" t="s">
        <v>58</v>
      </c>
      <c r="C22" t="s">
        <v>59</v>
      </c>
      <c r="D22" t="s">
        <v>82</v>
      </c>
      <c r="I22">
        <v>2</v>
      </c>
    </row>
    <row r="23" spans="1:12" x14ac:dyDescent="0.25">
      <c r="A23" t="s">
        <v>60</v>
      </c>
      <c r="B23" t="s">
        <v>61</v>
      </c>
      <c r="C23" t="s">
        <v>62</v>
      </c>
      <c r="D23" t="s">
        <v>82</v>
      </c>
      <c r="G23" t="s">
        <v>95</v>
      </c>
      <c r="H23" t="s">
        <v>91</v>
      </c>
      <c r="I23">
        <v>2</v>
      </c>
      <c r="L23" s="1" t="s">
        <v>85</v>
      </c>
    </row>
    <row r="24" spans="1:12" x14ac:dyDescent="0.25">
      <c r="A24" t="s">
        <v>63</v>
      </c>
      <c r="B24" t="s">
        <v>64</v>
      </c>
      <c r="C24" t="s">
        <v>65</v>
      </c>
      <c r="D24" t="s">
        <v>82</v>
      </c>
      <c r="E24" t="s">
        <v>101</v>
      </c>
      <c r="G24" t="s">
        <v>95</v>
      </c>
      <c r="H24" t="s">
        <v>82</v>
      </c>
      <c r="I24">
        <v>1</v>
      </c>
    </row>
    <row r="25" spans="1:12" x14ac:dyDescent="0.25">
      <c r="A25" t="s">
        <v>66</v>
      </c>
      <c r="B25" t="s">
        <v>67</v>
      </c>
      <c r="C25" t="s">
        <v>68</v>
      </c>
      <c r="D25" t="s">
        <v>83</v>
      </c>
      <c r="G25" t="s">
        <v>95</v>
      </c>
      <c r="H25" t="s">
        <v>90</v>
      </c>
      <c r="I25">
        <v>2</v>
      </c>
    </row>
    <row r="26" spans="1:12" x14ac:dyDescent="0.25">
      <c r="A26" t="s">
        <v>69</v>
      </c>
      <c r="B26" t="s">
        <v>70</v>
      </c>
      <c r="C26" t="s">
        <v>71</v>
      </c>
      <c r="D26" t="s">
        <v>83</v>
      </c>
      <c r="G26" t="s">
        <v>95</v>
      </c>
      <c r="H26" t="s">
        <v>82</v>
      </c>
      <c r="I26">
        <v>2</v>
      </c>
    </row>
    <row r="27" spans="1:12" x14ac:dyDescent="0.25">
      <c r="A27" t="s">
        <v>72</v>
      </c>
      <c r="B27" t="s">
        <v>73</v>
      </c>
      <c r="C27" t="s">
        <v>74</v>
      </c>
      <c r="D27" t="s">
        <v>83</v>
      </c>
      <c r="I27">
        <v>2</v>
      </c>
    </row>
    <row r="28" spans="1:12" x14ac:dyDescent="0.25">
      <c r="A28" t="s">
        <v>75</v>
      </c>
      <c r="B28" t="s">
        <v>76</v>
      </c>
      <c r="C28" t="s">
        <v>77</v>
      </c>
      <c r="D28" t="s">
        <v>83</v>
      </c>
      <c r="G28" t="s">
        <v>95</v>
      </c>
      <c r="H28" t="s">
        <v>90</v>
      </c>
      <c r="I28">
        <v>2</v>
      </c>
    </row>
  </sheetData>
  <autoFilter ref="A1:J28" xr:uid="{00000000-0001-0000-0000-000000000000}">
    <sortState xmlns:xlrd2="http://schemas.microsoft.com/office/spreadsheetml/2017/richdata2" ref="A2:J28">
      <sortCondition ref="B1:B2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41AB-CD8C-467D-B384-BDA773A29C22}">
  <dimension ref="A1:U28"/>
  <sheetViews>
    <sheetView tabSelected="1" workbookViewId="0">
      <pane xSplit="2" topLeftCell="H1" activePane="topRight" state="frozen"/>
      <selection pane="topRight" activeCell="R32" sqref="R32"/>
    </sheetView>
  </sheetViews>
  <sheetFormatPr defaultRowHeight="15.75" x14ac:dyDescent="0.25"/>
  <cols>
    <col min="2" max="2" width="15.125" bestFit="1" customWidth="1"/>
    <col min="3" max="3" width="17.5" bestFit="1" customWidth="1"/>
    <col min="5" max="5" width="13.5" bestFit="1" customWidth="1"/>
    <col min="6" max="6" width="18.5" bestFit="1" customWidth="1"/>
    <col min="7" max="7" width="13" bestFit="1" customWidth="1"/>
    <col min="8" max="8" width="11.25" bestFit="1" customWidth="1"/>
    <col min="9" max="9" width="17.125" bestFit="1" customWidth="1"/>
    <col min="10" max="10" width="10.625" bestFit="1" customWidth="1"/>
    <col min="11" max="11" width="5.5" bestFit="1" customWidth="1"/>
    <col min="12" max="13" width="18.375" bestFit="1" customWidth="1"/>
    <col min="14" max="14" width="18" bestFit="1" customWidth="1"/>
    <col min="15" max="15" width="18" customWidth="1"/>
    <col min="16" max="16" width="12.25" style="2" bestFit="1" customWidth="1"/>
    <col min="17" max="17" width="12.375" style="2" bestFit="1" customWidth="1"/>
    <col min="18" max="18" width="17.5" bestFit="1" customWidth="1"/>
    <col min="19" max="19" width="23.375" bestFit="1" customWidth="1"/>
    <col min="20" max="20" width="16.875" bestFit="1" customWidth="1"/>
  </cols>
  <sheetData>
    <row r="1" spans="1:21" x14ac:dyDescent="0.25">
      <c r="A1" t="s">
        <v>81</v>
      </c>
      <c r="B1" t="s">
        <v>80</v>
      </c>
      <c r="C1" t="s">
        <v>79</v>
      </c>
      <c r="D1" t="s">
        <v>78</v>
      </c>
      <c r="E1" t="s">
        <v>94</v>
      </c>
      <c r="F1" t="s">
        <v>88</v>
      </c>
      <c r="G1" t="s">
        <v>89</v>
      </c>
      <c r="H1" t="s">
        <v>123</v>
      </c>
      <c r="I1" t="s">
        <v>124</v>
      </c>
      <c r="J1" t="s">
        <v>125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s="2" t="s">
        <v>126</v>
      </c>
      <c r="Q1" s="2" t="s">
        <v>127</v>
      </c>
      <c r="R1" t="s">
        <v>134</v>
      </c>
      <c r="S1" t="s">
        <v>135</v>
      </c>
      <c r="T1" t="s">
        <v>136</v>
      </c>
      <c r="U1" t="s">
        <v>128</v>
      </c>
    </row>
    <row r="2" spans="1:21" x14ac:dyDescent="0.25">
      <c r="A2" t="s">
        <v>0</v>
      </c>
      <c r="B2" t="s">
        <v>1</v>
      </c>
      <c r="C2" t="s">
        <v>2</v>
      </c>
      <c r="D2" t="s">
        <v>82</v>
      </c>
      <c r="E2" t="s">
        <v>95</v>
      </c>
      <c r="F2" t="s">
        <v>82</v>
      </c>
      <c r="G2">
        <v>1</v>
      </c>
      <c r="H2">
        <v>1.635</v>
      </c>
      <c r="I2">
        <f>H2-0.6</f>
        <v>1.0350000000000001</v>
      </c>
      <c r="J2" t="str">
        <f>IF(H2&gt;=1.506,"A-,A",IF(H2&gt;=0.92,"B-,B,B+",IF(H2&gt;=0.677,"C-,C,C+",IF(H2&gt;=0.548,"D-,D,D+","F"))))</f>
        <v>A-,A</v>
      </c>
      <c r="K2" t="str">
        <f>IF(J2="A-,A",IF(H2&gt;=1.7,"A","A-"),IF(J2="B-,B,B+",IF(H2&gt;=1.3,"B+",IF(H2&gt;=1.1,"B","B-")),IF(J2="C-,C,C+",IF(H2&gt;=0.8,"C+",IF(H2&gt;=0.7,"C","C-")),IF(J2="D-,D,D+",IF(H2&gt;=0.57,"D+",IF(H2&gt;=0.55,"D","D-")),"F"))))</f>
        <v>A-</v>
      </c>
      <c r="L2">
        <v>0</v>
      </c>
      <c r="M2">
        <v>0</v>
      </c>
      <c r="N2">
        <v>0</v>
      </c>
      <c r="O2">
        <v>0</v>
      </c>
      <c r="P2" s="2">
        <f>(L2/25)*(1/3)+(M2/10)*(1/2)</f>
        <v>0</v>
      </c>
      <c r="Q2" s="2">
        <f>(N2/25)*(1/3)+(O2/3)*(1/2)</f>
        <v>0</v>
      </c>
      <c r="R2" s="2">
        <f>H2+P2+Q2</f>
        <v>1.635</v>
      </c>
      <c r="S2" s="2">
        <f>R2-0.6</f>
        <v>1.0350000000000001</v>
      </c>
      <c r="T2" t="str">
        <f>IF(R2&gt;=1.506,"A-,A",IF(R2&gt;=0.92,"B-,B,B+",IF(R2&gt;=0.677,"C-,C,C+",IF(R2&gt;=0.548,"D-,D,D+","F"))))</f>
        <v>A-,A</v>
      </c>
      <c r="U2" t="str">
        <f>IF(T2="A-,A",IF(R2&gt;=1.7,"A","A-"),IF(T2="B-,B,B+",IF(R2&gt;=1.3,"B+",IF(R2&gt;=1.1,"B","B-")),IF(T2="C-,C,C+",IF(R2&gt;=0.8,"C+",IF(R2&gt;=0.7,"C","C-")),IF(T2="D-,D,D+",IF(R2&gt;=0.57,"D+",IF(R2&gt;=0.55,"D","D-")),"F"))))</f>
        <v>A-</v>
      </c>
    </row>
    <row r="3" spans="1:21" x14ac:dyDescent="0.25">
      <c r="A3" t="s">
        <v>9</v>
      </c>
      <c r="B3" t="s">
        <v>10</v>
      </c>
      <c r="C3" t="s">
        <v>11</v>
      </c>
      <c r="D3" t="s">
        <v>82</v>
      </c>
      <c r="E3" t="s">
        <v>95</v>
      </c>
      <c r="F3" t="s">
        <v>91</v>
      </c>
      <c r="G3">
        <v>3</v>
      </c>
      <c r="H3">
        <v>0.89300000000000002</v>
      </c>
      <c r="I3">
        <f>H3-0.6</f>
        <v>0.29300000000000004</v>
      </c>
      <c r="J3" t="str">
        <f>IF(H3&gt;=1.506,"A-,A",IF(H3&gt;=0.92,"B-,B,B+",IF(H3&gt;=0.677,"C-,C,C+",IF(H3&gt;=0.548,"D-,D,D+","F"))))</f>
        <v>C-,C,C+</v>
      </c>
      <c r="K3" t="str">
        <f>IF(J3="A-,A",IF(H3&gt;=1.7,"A","A-"),IF(J3="B-,B,B+",IF(H3&gt;=1.3,"B+",IF(H3&gt;=1.1,"B","B-")),IF(J3="C-,C,C+",IF(H3&gt;=0.8,"C+",IF(H3&gt;=0.7,"C","C-")),IF(J3="D-,D,D+",IF(H3&gt;=0.57,"D+",IF(H3&gt;=0.55,"D","D-")),"F"))))</f>
        <v>C+</v>
      </c>
      <c r="L3">
        <v>0</v>
      </c>
      <c r="M3">
        <v>1</v>
      </c>
      <c r="N3">
        <v>6</v>
      </c>
      <c r="O3">
        <v>0</v>
      </c>
      <c r="P3" s="2">
        <f>(L3/25)*(1/3)+(M3/10)*(1/2)</f>
        <v>0.05</v>
      </c>
      <c r="Q3" s="2">
        <f>(N3/25)*(1/3)+(O3/3)*(1/2)</f>
        <v>7.9999999999999988E-2</v>
      </c>
      <c r="R3" s="2">
        <f>H3+P3+Q3</f>
        <v>1.0230000000000001</v>
      </c>
      <c r="S3" s="2">
        <f>R3-0.6</f>
        <v>0.42300000000000015</v>
      </c>
      <c r="T3" t="str">
        <f>IF(R3&gt;=1.506,"A-,A",IF(R3&gt;=0.92,"B-,B,B+",IF(R3&gt;=0.677,"C-,C,C+",IF(R3&gt;=0.548,"D-,D,D+","F"))))</f>
        <v>B-,B,B+</v>
      </c>
      <c r="U3" t="str">
        <f>IF(T3="A-,A",IF(R3&gt;=1.7,"A","A-"),IF(T3="B-,B,B+",IF(R3&gt;=1.3,"B+",IF(R3&gt;=1.1,"B","B-")),IF(T3="C-,C,C+",IF(R3&gt;=0.8,"C+",IF(R3&gt;=0.7,"C","C-")),IF(T3="D-,D,D+",IF(R3&gt;=0.57,"D+",IF(R3&gt;=0.55,"D","D-")),"F"))))</f>
        <v>B-</v>
      </c>
    </row>
    <row r="4" spans="1:21" x14ac:dyDescent="0.25">
      <c r="A4" t="s">
        <v>18</v>
      </c>
      <c r="B4" t="s">
        <v>19</v>
      </c>
      <c r="C4" t="s">
        <v>20</v>
      </c>
      <c r="D4" t="s">
        <v>82</v>
      </c>
      <c r="G4">
        <v>2</v>
      </c>
      <c r="K4" t="str">
        <f>IF(J4="A-,A",IF(H4&gt;=1.7,"A","A-"),IF(J4="B-,B,B+",IF(H4&gt;=1.3,"B+",IF(H4&gt;=1.1,"B","B-")),IF(J4="C-,C,C+",IF(H4&gt;=0.8,"C+",IF(H4&gt;=0.7,"C","C-")),IF(J4="D-,D,D+",IF(H4&gt;=0.57,"D+",IF(H4&gt;=0.55,"D","D-")),"F"))))</f>
        <v>F</v>
      </c>
      <c r="R4" s="2"/>
      <c r="S4" s="2"/>
    </row>
    <row r="5" spans="1:21" x14ac:dyDescent="0.25">
      <c r="A5" t="s">
        <v>27</v>
      </c>
      <c r="B5" t="s">
        <v>28</v>
      </c>
      <c r="C5" t="s">
        <v>29</v>
      </c>
      <c r="D5" t="s">
        <v>82</v>
      </c>
      <c r="E5" t="s">
        <v>95</v>
      </c>
      <c r="F5" t="s">
        <v>90</v>
      </c>
      <c r="G5">
        <v>3</v>
      </c>
      <c r="H5">
        <v>1.1539999999999999</v>
      </c>
      <c r="I5">
        <f>H5-0.6</f>
        <v>0.55399999999999994</v>
      </c>
      <c r="J5" t="str">
        <f>IF(H5&gt;=1.506,"A-,A",IF(H5&gt;=0.92,"B-,B,B+",IF(H5&gt;=0.677,"C-,C,C+",IF(H5&gt;=0.548,"D-,D,D+","F"))))</f>
        <v>B-,B,B+</v>
      </c>
      <c r="K5" t="str">
        <f>IF(J5="A-,A",IF(H5&gt;=1.7,"A","A-"),IF(J5="B-,B,B+",IF(H5&gt;=1.3,"B+",IF(H5&gt;=1.1,"B","B-")),IF(J5="C-,C,C+",IF(H5&gt;=0.8,"C+",IF(H5&gt;=0.7,"C","C-")),IF(J5="D-,D,D+",IF(H5&gt;=0.57,"D+",IF(H5&gt;=0.55,"D","D-")),"F"))))</f>
        <v>B</v>
      </c>
      <c r="L5">
        <v>0</v>
      </c>
      <c r="M5">
        <v>0</v>
      </c>
      <c r="N5">
        <v>3</v>
      </c>
      <c r="O5">
        <v>0</v>
      </c>
      <c r="P5" s="2">
        <f>(L5/25)*(1/3)+(M5/10)*(1/2)</f>
        <v>0</v>
      </c>
      <c r="Q5" s="2">
        <f>(N5/25)*(1/3)+(O5/3)*(1/2)</f>
        <v>3.9999999999999994E-2</v>
      </c>
      <c r="R5" s="2">
        <f>H5+P5+Q5</f>
        <v>1.194</v>
      </c>
      <c r="S5" s="2">
        <f>R5-0.6</f>
        <v>0.59399999999999997</v>
      </c>
      <c r="T5" t="str">
        <f>IF(R5&gt;=1.506,"A-,A",IF(R5&gt;=0.92,"B-,B,B+",IF(R5&gt;=0.677,"C-,C,C+",IF(R5&gt;=0.548,"D-,D,D+","F"))))</f>
        <v>B-,B,B+</v>
      </c>
      <c r="U5" t="str">
        <f>IF(T5="A-,A",IF(R5&gt;=1.7,"A","A-"),IF(T5="B-,B,B+",IF(R5&gt;=1.3,"B+",IF(R5&gt;=1.1,"B","B-")),IF(T5="C-,C,C+",IF(R5&gt;=0.8,"C+",IF(R5&gt;=0.7,"C","C-")),IF(T5="D-,D,D+",IF(R5&gt;=0.57,"D+",IF(R5&gt;=0.55,"D","D-")),"F"))))</f>
        <v>B</v>
      </c>
    </row>
    <row r="6" spans="1:21" x14ac:dyDescent="0.25">
      <c r="A6" t="s">
        <v>48</v>
      </c>
      <c r="B6" t="s">
        <v>49</v>
      </c>
      <c r="C6" t="s">
        <v>50</v>
      </c>
      <c r="D6" t="s">
        <v>82</v>
      </c>
      <c r="E6" t="s">
        <v>95</v>
      </c>
      <c r="F6" t="s">
        <v>91</v>
      </c>
      <c r="G6">
        <v>2</v>
      </c>
      <c r="H6">
        <v>1.54</v>
      </c>
      <c r="I6">
        <f>H6-0.6</f>
        <v>0.94000000000000006</v>
      </c>
      <c r="J6" t="str">
        <f>IF(H6&gt;=1.506,"A-,A",IF(H6&gt;=0.92,"B-,B,B+",IF(H6&gt;=0.677,"C-,C,C+",IF(H6&gt;=0.548,"D-,D,D+","F"))))</f>
        <v>A-,A</v>
      </c>
      <c r="K6" t="str">
        <f>IF(J6="A-,A",IF(H6&gt;=1.7,"A","A-"),IF(J6="B-,B,B+",IF(H6&gt;=1.3,"B+",IF(H6&gt;=1.1,"B","B-")),IF(J6="C-,C,C+",IF(H6&gt;=0.8,"C+",IF(H6&gt;=0.7,"C","C-")),IF(J6="D-,D,D+",IF(H6&gt;=0.57,"D+",IF(H6&gt;=0.55,"D","D-")),"F"))))</f>
        <v>A-</v>
      </c>
      <c r="L6">
        <v>0</v>
      </c>
      <c r="M6">
        <v>0</v>
      </c>
      <c r="N6">
        <v>1</v>
      </c>
      <c r="O6">
        <v>0</v>
      </c>
      <c r="P6" s="2">
        <f>(L6/25)*(1/3)+(M6/10)*(1/2)</f>
        <v>0</v>
      </c>
      <c r="Q6" s="2">
        <f>(N6/25)*(1/3)+(O6/3)*(1/2)</f>
        <v>1.3333333333333332E-2</v>
      </c>
      <c r="R6" s="2">
        <f>H6+P6+Q6</f>
        <v>1.5533333333333335</v>
      </c>
      <c r="S6" s="2">
        <f>R6-0.6</f>
        <v>0.95333333333333348</v>
      </c>
      <c r="T6" t="str">
        <f>IF(R6&gt;=1.506,"A-,A",IF(R6&gt;=0.92,"B-,B,B+",IF(R6&gt;=0.677,"C-,C,C+",IF(R6&gt;=0.548,"D-,D,D+","F"))))</f>
        <v>A-,A</v>
      </c>
      <c r="U6" t="str">
        <f>IF(T6="A-,A",IF(R6&gt;=1.7,"A","A-"),IF(T6="B-,B,B+",IF(R6&gt;=1.3,"B+",IF(R6&gt;=1.1,"B","B-")),IF(T6="C-,C,C+",IF(R6&gt;=0.8,"C+",IF(R6&gt;=0.7,"C","C-")),IF(T6="D-,D,D+",IF(R6&gt;=0.57,"D+",IF(R6&gt;=0.55,"D","D-")),"F"))))</f>
        <v>A-</v>
      </c>
    </row>
    <row r="7" spans="1:21" x14ac:dyDescent="0.25">
      <c r="A7" t="s">
        <v>51</v>
      </c>
      <c r="B7" t="s">
        <v>52</v>
      </c>
      <c r="C7" t="s">
        <v>53</v>
      </c>
      <c r="D7" t="s">
        <v>82</v>
      </c>
      <c r="E7" t="s">
        <v>95</v>
      </c>
      <c r="F7" t="s">
        <v>91</v>
      </c>
      <c r="G7">
        <v>2</v>
      </c>
      <c r="H7">
        <v>1.4770000000000001</v>
      </c>
      <c r="I7">
        <f>H7-0.6</f>
        <v>0.87700000000000011</v>
      </c>
      <c r="J7" t="str">
        <f>IF(H7&gt;=1.506,"A-,A",IF(H7&gt;=0.92,"B-,B,B+",IF(H7&gt;=0.677,"C-,C,C+",IF(H7&gt;=0.548,"D-,D,D+","F"))))</f>
        <v>B-,B,B+</v>
      </c>
      <c r="K7" t="str">
        <f>IF(J7="A-,A",IF(H7&gt;=1.7,"A","A-"),IF(J7="B-,B,B+",IF(H7&gt;=1.3,"B+",IF(H7&gt;=1.1,"B","B-")),IF(J7="C-,C,C+",IF(H7&gt;=0.8,"C+",IF(H7&gt;=0.7,"C","C-")),IF(J7="D-,D,D+",IF(H7&gt;=0.57,"D+",IF(H7&gt;=0.55,"D","D-")),"F"))))</f>
        <v>B+</v>
      </c>
      <c r="L7">
        <v>0</v>
      </c>
      <c r="M7">
        <v>0</v>
      </c>
      <c r="N7">
        <v>1</v>
      </c>
      <c r="O7">
        <v>0</v>
      </c>
      <c r="P7" s="2">
        <f>(L7/25)*(1/3)+(M7/10)*(1/2)</f>
        <v>0</v>
      </c>
      <c r="Q7" s="2">
        <f>(N7/25)*(1/3)+(O7/3)*(1/2)</f>
        <v>1.3333333333333332E-2</v>
      </c>
      <c r="R7" s="2">
        <f>H7+P7+Q7</f>
        <v>1.4903333333333335</v>
      </c>
      <c r="S7" s="2">
        <f>R7-0.6</f>
        <v>0.89033333333333353</v>
      </c>
      <c r="T7" t="str">
        <f>IF(R7&gt;=1.506,"A-,A",IF(R7&gt;=0.92,"B-,B,B+",IF(R7&gt;=0.677,"C-,C,C+",IF(R7&gt;=0.548,"D-,D,D+","F"))))</f>
        <v>B-,B,B+</v>
      </c>
      <c r="U7" t="str">
        <f>IF(T7="A-,A",IF(R7&gt;=1.7,"A","A-"),IF(T7="B-,B,B+",IF(R7&gt;=1.3,"B+",IF(R7&gt;=1.1,"B","B-")),IF(T7="C-,C,C+",IF(R7&gt;=0.8,"C+",IF(R7&gt;=0.7,"C","C-")),IF(T7="D-,D,D+",IF(R7&gt;=0.57,"D+",IF(R7&gt;=0.55,"D","D-")),"F"))))</f>
        <v>B+</v>
      </c>
    </row>
    <row r="8" spans="1:21" x14ac:dyDescent="0.25">
      <c r="A8" t="s">
        <v>57</v>
      </c>
      <c r="B8" t="s">
        <v>58</v>
      </c>
      <c r="C8" t="s">
        <v>59</v>
      </c>
      <c r="D8" t="s">
        <v>82</v>
      </c>
      <c r="G8">
        <v>2</v>
      </c>
      <c r="H8">
        <v>1.204</v>
      </c>
      <c r="I8">
        <f>H8-0.6</f>
        <v>0.60399999999999998</v>
      </c>
      <c r="J8" t="str">
        <f>IF(H8&gt;=1.506,"A-,A",IF(H8&gt;=0.92,"B-,B,B+",IF(H8&gt;=0.677,"C-,C,C+",IF(H8&gt;=0.548,"D-,D,D+","F"))))</f>
        <v>B-,B,B+</v>
      </c>
      <c r="K8" t="str">
        <f>IF(J8="A-,A",IF(H8&gt;=1.7,"A","A-"),IF(J8="B-,B,B+",IF(H8&gt;=1.3,"B+",IF(H8&gt;=1.1,"B","B-")),IF(J8="C-,C,C+",IF(H8&gt;=0.8,"C+",IF(H8&gt;=0.7,"C","C-")),IF(J8="D-,D,D+",IF(H8&gt;=0.57,"D+",IF(H8&gt;=0.55,"D","D-")),"F"))))</f>
        <v>B</v>
      </c>
      <c r="L8">
        <v>1</v>
      </c>
      <c r="M8">
        <v>0</v>
      </c>
      <c r="N8">
        <v>2</v>
      </c>
      <c r="O8">
        <v>1</v>
      </c>
      <c r="P8" s="2">
        <f>(L8/25)*(1/3)+(M8/10)*(1/2)</f>
        <v>1.3333333333333332E-2</v>
      </c>
      <c r="Q8" s="2">
        <f>(N8/25)*(1/3)+(O8/3)*(1/2)</f>
        <v>0.19333333333333333</v>
      </c>
      <c r="R8" s="2">
        <f>H8+P8+Q8</f>
        <v>1.4106666666666667</v>
      </c>
      <c r="S8" s="2">
        <f>R8-0.6</f>
        <v>0.81066666666666676</v>
      </c>
      <c r="T8" t="str">
        <f>IF(R8&gt;=1.506,"A-,A",IF(R8&gt;=0.92,"B-,B,B+",IF(R8&gt;=0.677,"C-,C,C+",IF(R8&gt;=0.548,"D-,D,D+","F"))))</f>
        <v>B-,B,B+</v>
      </c>
      <c r="U8" t="str">
        <f>IF(T8="A-,A",IF(R8&gt;=1.7,"A","A-"),IF(T8="B-,B,B+",IF(R8&gt;=1.3,"B+",IF(R8&gt;=1.1,"B","B-")),IF(T8="C-,C,C+",IF(R8&gt;=0.8,"C+",IF(R8&gt;=0.7,"C","C-")),IF(T8="D-,D,D+",IF(R8&gt;=0.57,"D+",IF(R8&gt;=0.55,"D","D-")),"F"))))</f>
        <v>B+</v>
      </c>
    </row>
    <row r="9" spans="1:21" x14ac:dyDescent="0.25">
      <c r="A9" t="s">
        <v>60</v>
      </c>
      <c r="B9" t="s">
        <v>61</v>
      </c>
      <c r="C9" t="s">
        <v>62</v>
      </c>
      <c r="D9" t="s">
        <v>82</v>
      </c>
      <c r="E9" t="s">
        <v>95</v>
      </c>
      <c r="F9" t="s">
        <v>91</v>
      </c>
      <c r="G9">
        <v>2</v>
      </c>
      <c r="H9">
        <v>0.432</v>
      </c>
      <c r="I9">
        <f>H9-0.6</f>
        <v>-0.16799999999999998</v>
      </c>
      <c r="J9" t="str">
        <f>IF(H9&gt;=1.506,"A-,A",IF(H9&gt;=0.92,"B-,B,B+",IF(H9&gt;=0.677,"C-,C,C+",IF(H9&gt;=0.548,"D-,D,D+","F"))))</f>
        <v>F</v>
      </c>
      <c r="K9" t="str">
        <f>IF(J9="A-,A",IF(H9&gt;=1.7,"A","A-"),IF(J9="B-,B,B+",IF(H9&gt;=1.3,"B+",IF(H9&gt;=1.1,"B","B-")),IF(J9="C-,C,C+",IF(H9&gt;=0.8,"C+",IF(H9&gt;=0.7,"C","C-")),IF(J9="D-,D,D+",IF(H9&gt;=0.57,"D+",IF(H9&gt;=0.55,"D","D-")),"F"))))</f>
        <v>F</v>
      </c>
      <c r="L9">
        <v>0</v>
      </c>
      <c r="M9">
        <v>0</v>
      </c>
      <c r="N9">
        <v>1</v>
      </c>
      <c r="O9">
        <v>0</v>
      </c>
      <c r="P9" s="2">
        <f>(L9/25)*(1/3)+(M9/3)*(1/2)</f>
        <v>0</v>
      </c>
      <c r="Q9" s="2">
        <f>(N9/25)*(1/3)+(O9/10)*(1/2)</f>
        <v>1.3333333333333332E-2</v>
      </c>
      <c r="R9" s="2">
        <f>H9+P9+Q9</f>
        <v>0.4453333333333333</v>
      </c>
      <c r="S9" s="2">
        <f>R9-0.6</f>
        <v>-0.15466666666666667</v>
      </c>
      <c r="T9" t="str">
        <f>IF(R9&gt;=1.506,"A-,A",IF(R9&gt;=0.92,"B-,B,B+",IF(R9&gt;=0.677,"C-,C,C+",IF(R9&gt;=0.548,"D-,D,D+","F"))))</f>
        <v>F</v>
      </c>
      <c r="U9" t="str">
        <f>IF(T9="A-,A",IF(R9&gt;=1.7,"A","A-"),IF(T9="B-,B,B+",IF(R9&gt;=1.3,"B+",IF(R9&gt;=1.1,"B","B-")),IF(T9="C-,C,C+",IF(R9&gt;=0.8,"C+",IF(R9&gt;=0.7,"C","C-")),IF(T9="D-,D,D+",IF(R9&gt;=0.57,"D+",IF(R9&gt;=0.55,"D","D-")),"F"))))</f>
        <v>F</v>
      </c>
    </row>
    <row r="10" spans="1:21" x14ac:dyDescent="0.25">
      <c r="A10" t="s">
        <v>63</v>
      </c>
      <c r="B10" t="s">
        <v>64</v>
      </c>
      <c r="C10" t="s">
        <v>65</v>
      </c>
      <c r="D10" t="s">
        <v>82</v>
      </c>
      <c r="E10" t="s">
        <v>95</v>
      </c>
      <c r="F10" t="s">
        <v>82</v>
      </c>
      <c r="G10">
        <v>1</v>
      </c>
      <c r="H10">
        <v>1.63</v>
      </c>
      <c r="I10">
        <f>H10-0.6</f>
        <v>1.0299999999999998</v>
      </c>
      <c r="J10" t="str">
        <f>IF(H10&gt;=1.506,"A-,A",IF(H10&gt;=0.92,"B-,B,B+",IF(H10&gt;=0.677,"C-,C,C+",IF(H10&gt;=0.548,"D-,D,D+","F"))))</f>
        <v>A-,A</v>
      </c>
      <c r="K10" t="str">
        <f>IF(J10="A-,A",IF(H10&gt;=1.7,"A","A-"),IF(J10="B-,B,B+",IF(H10&gt;=1.3,"B+",IF(H10&gt;=1.1,"B","B-")),IF(J10="C-,C,C+",IF(H10&gt;=0.8,"C+",IF(H10&gt;=0.7,"C","C-")),IF(J10="D-,D,D+",IF(H10&gt;=0.57,"D+",IF(H10&gt;=0.55,"D","D-")),"F"))))</f>
        <v>A-</v>
      </c>
      <c r="L10">
        <v>3</v>
      </c>
      <c r="M10">
        <v>0</v>
      </c>
      <c r="N10">
        <v>3</v>
      </c>
      <c r="O10">
        <v>1</v>
      </c>
      <c r="P10" s="2">
        <f>(L10/25)*(1/3)+(M10/10)*(1/2)</f>
        <v>3.9999999999999994E-2</v>
      </c>
      <c r="Q10" s="2">
        <f>(N10/25)*(1/3)+(O10/3)*(1/2)</f>
        <v>0.20666666666666667</v>
      </c>
      <c r="R10" s="2">
        <f>H10+P10+Q10</f>
        <v>1.8766666666666665</v>
      </c>
      <c r="S10" s="2">
        <f>R10-0.6</f>
        <v>1.2766666666666664</v>
      </c>
      <c r="T10" t="str">
        <f>IF(R10&gt;=1.506,"A-,A",IF(R10&gt;=0.92,"B-,B,B+",IF(R10&gt;=0.677,"C-,C,C+",IF(R10&gt;=0.548,"D-,D,D+","F"))))</f>
        <v>A-,A</v>
      </c>
      <c r="U10" t="str">
        <f>IF(T10="A-,A",IF(R10&gt;=1.7,"A","A-"),IF(T10="B-,B,B+",IF(R10&gt;=1.3,"B+",IF(R10&gt;=1.1,"B","B-")),IF(T10="C-,C,C+",IF(R10&gt;=0.8,"C+",IF(R10&gt;=0.7,"C","C-")),IF(T10="D-,D,D+",IF(R10&gt;=0.57,"D+",IF(R10&gt;=0.55,"D","D-")),"F"))))</f>
        <v>A</v>
      </c>
    </row>
    <row r="11" spans="1:21" x14ac:dyDescent="0.25">
      <c r="A11" t="s">
        <v>3</v>
      </c>
      <c r="B11" t="s">
        <v>4</v>
      </c>
      <c r="C11" t="s">
        <v>5</v>
      </c>
      <c r="D11" t="s">
        <v>83</v>
      </c>
      <c r="E11" t="s">
        <v>95</v>
      </c>
      <c r="F11" t="s">
        <v>82</v>
      </c>
      <c r="G11">
        <v>2</v>
      </c>
      <c r="H11">
        <v>1.6459999999999999</v>
      </c>
      <c r="I11">
        <f>H11-0.6</f>
        <v>1.0459999999999998</v>
      </c>
      <c r="J11" t="str">
        <f>IF(H11&gt;=1.506,"A-,A",IF(H11&gt;=0.92,"B-,B,B+",IF(H11&gt;=0.677,"C-,C,C+",IF(H11&gt;=0.548,"D-,D,D+","F"))))</f>
        <v>A-,A</v>
      </c>
      <c r="K11" t="str">
        <f>IF(J11="A-,A",IF(H11&gt;=1.7,"A","A-"),IF(J11="B-,B,B+",IF(H11&gt;=1.3,"B+",IF(H11&gt;=1.1,"B","B-")),IF(J11="C-,C,C+",IF(H11&gt;=0.8,"C+",IF(H11&gt;=0.7,"C","C-")),IF(J11="D-,D,D+",IF(H11&gt;=0.57,"D+",IF(H11&gt;=0.55,"D","D-")),"F"))))</f>
        <v>A-</v>
      </c>
      <c r="L11">
        <v>0</v>
      </c>
      <c r="M11">
        <v>0</v>
      </c>
      <c r="N11">
        <v>0</v>
      </c>
      <c r="O11">
        <v>0</v>
      </c>
      <c r="P11" s="2">
        <f>(L11/25)*(1/3)+(M11/10)*(1/2)</f>
        <v>0</v>
      </c>
      <c r="Q11" s="2">
        <f>(N11/25)*(1/3)+(O11/3)*(1/2)</f>
        <v>0</v>
      </c>
      <c r="R11" s="2">
        <f>H11+P11+Q11</f>
        <v>1.6459999999999999</v>
      </c>
      <c r="S11" s="2">
        <f>R11-0.6</f>
        <v>1.0459999999999998</v>
      </c>
      <c r="T11" t="str">
        <f>IF(R11&gt;=1.506,"A-,A",IF(R11&gt;=0.92,"B-,B,B+",IF(R11&gt;=0.677,"C-,C,C+",IF(R11&gt;=0.548,"D-,D,D+","F"))))</f>
        <v>A-,A</v>
      </c>
      <c r="U11" t="str">
        <f>IF(T11="A-,A",IF(R11&gt;=1.7,"A","A-"),IF(T11="B-,B,B+",IF(R11&gt;=1.3,"B+",IF(R11&gt;=1.1,"B","B-")),IF(T11="C-,C,C+",IF(R11&gt;=0.8,"C+",IF(R11&gt;=0.7,"C","C-")),IF(T11="D-,D,D+",IF(R11&gt;=0.57,"D+",IF(R11&gt;=0.55,"D","D-")),"F"))))</f>
        <v>A-</v>
      </c>
    </row>
    <row r="12" spans="1:21" x14ac:dyDescent="0.25">
      <c r="A12" t="s">
        <v>6</v>
      </c>
      <c r="B12" t="s">
        <v>7</v>
      </c>
      <c r="C12" t="s">
        <v>8</v>
      </c>
      <c r="D12" t="s">
        <v>83</v>
      </c>
      <c r="E12" t="s">
        <v>95</v>
      </c>
      <c r="F12" t="s">
        <v>82</v>
      </c>
      <c r="G12">
        <v>2</v>
      </c>
      <c r="H12">
        <v>1.325</v>
      </c>
      <c r="I12">
        <f>H12-0.6</f>
        <v>0.72499999999999998</v>
      </c>
      <c r="J12" t="str">
        <f>IF(H12&gt;=1.506,"A-,A",IF(H12&gt;=0.92,"B-,B,B+",IF(H12&gt;=0.677,"C-,C,C+",IF(H12&gt;=0.548,"D-,D,D+","F"))))</f>
        <v>B-,B,B+</v>
      </c>
      <c r="K12" t="str">
        <f>IF(J12="A-,A",IF(H12&gt;=1.7,"A","A-"),IF(J12="B-,B,B+",IF(H12&gt;=1.3,"B+",IF(H12&gt;=1.1,"B","B-")),IF(J12="C-,C,C+",IF(H12&gt;=0.8,"C+",IF(H12&gt;=0.7,"C","C-")),IF(J12="D-,D,D+",IF(H12&gt;=0.57,"D+",IF(H12&gt;=0.55,"D","D-")),"F"))))</f>
        <v>B+</v>
      </c>
      <c r="L12">
        <v>0</v>
      </c>
      <c r="M12">
        <v>0</v>
      </c>
      <c r="N12">
        <v>1</v>
      </c>
      <c r="O12">
        <v>0</v>
      </c>
      <c r="P12" s="2">
        <f>(L12/25)*(1/3)+(M12/10)*(1/2)</f>
        <v>0</v>
      </c>
      <c r="Q12" s="2">
        <f>(N12/25)*(1/3)+(O12/3)*(1/2)</f>
        <v>1.3333333333333332E-2</v>
      </c>
      <c r="R12" s="2">
        <f>H12+P12+Q12</f>
        <v>1.3383333333333334</v>
      </c>
      <c r="S12" s="2">
        <f>R12-0.6</f>
        <v>0.7383333333333334</v>
      </c>
      <c r="T12" t="str">
        <f>IF(R12&gt;=1.506,"A-,A",IF(R12&gt;=0.92,"B-,B,B+",IF(R12&gt;=0.677,"C-,C,C+",IF(R12&gt;=0.548,"D-,D,D+","F"))))</f>
        <v>B-,B,B+</v>
      </c>
      <c r="U12" t="str">
        <f>IF(T12="A-,A",IF(R12&gt;=1.7,"A","A-"),IF(T12="B-,B,B+",IF(R12&gt;=1.3,"B+",IF(R12&gt;=1.1,"B","B-")),IF(T12="C-,C,C+",IF(R12&gt;=0.8,"C+",IF(R12&gt;=0.7,"C","C-")),IF(T12="D-,D,D+",IF(R12&gt;=0.57,"D+",IF(R12&gt;=0.55,"D","D-")),"F"))))</f>
        <v>B+</v>
      </c>
    </row>
    <row r="13" spans="1:21" x14ac:dyDescent="0.25">
      <c r="A13" t="s">
        <v>12</v>
      </c>
      <c r="B13" t="s">
        <v>13</v>
      </c>
      <c r="C13" t="s">
        <v>14</v>
      </c>
      <c r="D13" t="s">
        <v>83</v>
      </c>
      <c r="E13" t="s">
        <v>95</v>
      </c>
      <c r="F13" t="s">
        <v>82</v>
      </c>
      <c r="G13">
        <v>1</v>
      </c>
      <c r="H13">
        <v>1.7270000000000001</v>
      </c>
      <c r="I13">
        <f>H13-0.6</f>
        <v>1.1270000000000002</v>
      </c>
      <c r="J13" t="str">
        <f>IF(H13&gt;=1.506,"A-,A",IF(H13&gt;=0.92,"B-,B,B+",IF(H13&gt;=0.677,"C-,C,C+",IF(H13&gt;=0.548,"D-,D,D+","F"))))</f>
        <v>A-,A</v>
      </c>
      <c r="K13" t="str">
        <f>IF(J13="A-,A",IF(H13&gt;=1.7,"A","A-"),IF(J13="B-,B,B+",IF(H13&gt;=1.3,"B+",IF(H13&gt;=1.1,"B","B-")),IF(J13="C-,C,C+",IF(H13&gt;=0.8,"C+",IF(H13&gt;=0.7,"C","C-")),IF(J13="D-,D,D+",IF(H13&gt;=0.57,"D+",IF(H13&gt;=0.55,"D","D-")),"F"))))</f>
        <v>A</v>
      </c>
      <c r="L13">
        <v>3</v>
      </c>
      <c r="M13">
        <v>0</v>
      </c>
      <c r="N13">
        <v>0</v>
      </c>
      <c r="O13">
        <v>0</v>
      </c>
      <c r="P13" s="2">
        <f>(L13/25)*(1/3)+(M13/10)*(1/2)</f>
        <v>3.9999999999999994E-2</v>
      </c>
      <c r="Q13" s="2">
        <f>(N13/25)*(1/3)+(O13/3)*(1/2)</f>
        <v>0</v>
      </c>
      <c r="R13" s="2">
        <f>H13+P13+Q13</f>
        <v>1.7670000000000001</v>
      </c>
      <c r="S13" s="2">
        <f>R13-0.6</f>
        <v>1.1670000000000003</v>
      </c>
      <c r="T13" t="str">
        <f>IF(R13&gt;=1.506,"A-,A",IF(R13&gt;=0.92,"B-,B,B+",IF(R13&gt;=0.677,"C-,C,C+",IF(R13&gt;=0.548,"D-,D,D+","F"))))</f>
        <v>A-,A</v>
      </c>
      <c r="U13" t="str">
        <f>IF(T13="A-,A",IF(R13&gt;=1.7,"A","A-"),IF(T13="B-,B,B+",IF(R13&gt;=1.3,"B+",IF(R13&gt;=1.1,"B","B-")),IF(T13="C-,C,C+",IF(R13&gt;=0.8,"C+",IF(R13&gt;=0.7,"C","C-")),IF(T13="D-,D,D+",IF(R13&gt;=0.57,"D+",IF(R13&gt;=0.55,"D","D-")),"F"))))</f>
        <v>A</v>
      </c>
    </row>
    <row r="14" spans="1:21" x14ac:dyDescent="0.25">
      <c r="A14" t="s">
        <v>15</v>
      </c>
      <c r="B14" t="s">
        <v>16</v>
      </c>
      <c r="C14" t="s">
        <v>17</v>
      </c>
      <c r="D14" t="s">
        <v>83</v>
      </c>
      <c r="E14" t="s">
        <v>95</v>
      </c>
      <c r="F14" t="s">
        <v>91</v>
      </c>
      <c r="G14">
        <v>2</v>
      </c>
      <c r="H14">
        <v>0.82499999999999996</v>
      </c>
      <c r="I14">
        <f>H14-0.6</f>
        <v>0.22499999999999998</v>
      </c>
      <c r="J14" t="str">
        <f>IF(H14&gt;=1.506,"A-,A",IF(H14&gt;=0.92,"B-,B,B+",IF(H14&gt;=0.677,"C-,C,C+",IF(H14&gt;=0.548,"D-,D,D+","F"))))</f>
        <v>C-,C,C+</v>
      </c>
      <c r="K14" t="str">
        <f>IF(J14="A-,A",IF(H14&gt;=1.7,"A","A-"),IF(J14="B-,B,B+",IF(H14&gt;=1.3,"B+",IF(H14&gt;=1.1,"B","B-")),IF(J14="C-,C,C+",IF(H14&gt;=0.8,"C+",IF(H14&gt;=0.7,"C","C-")),IF(J14="D-,D,D+",IF(H14&gt;=0.57,"D+",IF(H14&gt;=0.55,"D","D-")),"F"))))</f>
        <v>C+</v>
      </c>
      <c r="L14">
        <v>0</v>
      </c>
      <c r="M14">
        <v>0</v>
      </c>
      <c r="N14">
        <v>2</v>
      </c>
      <c r="O14">
        <v>0</v>
      </c>
      <c r="P14" s="2">
        <f>(L14/25)*(1/3)+(M14/10)*(1/2)</f>
        <v>0</v>
      </c>
      <c r="Q14" s="2">
        <f>(N14/25)*(1/3)+(O14/3)*(1/2)</f>
        <v>2.6666666666666665E-2</v>
      </c>
      <c r="R14" s="2">
        <f>H14+P14+Q14</f>
        <v>0.85166666666666657</v>
      </c>
      <c r="S14" s="2">
        <f>R14-0.6</f>
        <v>0.25166666666666659</v>
      </c>
      <c r="T14" t="str">
        <f>IF(R14&gt;=1.506,"A-,A",IF(R14&gt;=0.92,"B-,B,B+",IF(R14&gt;=0.677,"C-,C,C+",IF(R14&gt;=0.548,"D-,D,D+","F"))))</f>
        <v>C-,C,C+</v>
      </c>
      <c r="U14" t="str">
        <f>IF(T14="A-,A",IF(R14&gt;=1.7,"A","A-"),IF(T14="B-,B,B+",IF(R14&gt;=1.3,"B+",IF(R14&gt;=1.1,"B","B-")),IF(T14="C-,C,C+",IF(R14&gt;=0.8,"C+",IF(R14&gt;=0.7,"C","C-")),IF(T14="D-,D,D+",IF(R14&gt;=0.57,"D+",IF(R14&gt;=0.55,"D","D-")),"F"))))</f>
        <v>C+</v>
      </c>
    </row>
    <row r="15" spans="1:21" x14ac:dyDescent="0.25">
      <c r="A15" t="s">
        <v>21</v>
      </c>
      <c r="B15" t="s">
        <v>22</v>
      </c>
      <c r="C15" t="s">
        <v>23</v>
      </c>
      <c r="D15" t="s">
        <v>83</v>
      </c>
      <c r="E15" t="s">
        <v>95</v>
      </c>
      <c r="F15" t="s">
        <v>83</v>
      </c>
      <c r="G15">
        <v>2</v>
      </c>
      <c r="H15">
        <v>1.123</v>
      </c>
      <c r="I15">
        <f>H15-0.6</f>
        <v>0.52300000000000002</v>
      </c>
      <c r="J15" t="str">
        <f>IF(H15&gt;=1.506,"A-,A",IF(H15&gt;=0.92,"B-,B,B+",IF(H15&gt;=0.677,"C-,C,C+",IF(H15&gt;=0.548,"D-,D,D+","F"))))</f>
        <v>B-,B,B+</v>
      </c>
      <c r="K15" t="str">
        <f>IF(J15="A-,A",IF(H15&gt;=1.7,"A","A-"),IF(J15="B-,B,B+",IF(H15&gt;=1.3,"B+",IF(H15&gt;=1.1,"B","B-")),IF(J15="C-,C,C+",IF(H15&gt;=0.8,"C+",IF(H15&gt;=0.7,"C","C-")),IF(J15="D-,D,D+",IF(H15&gt;=0.57,"D+",IF(H15&gt;=0.55,"D","D-")),"F"))))</f>
        <v>B</v>
      </c>
      <c r="L15">
        <v>0</v>
      </c>
      <c r="M15">
        <v>0</v>
      </c>
      <c r="N15">
        <v>1</v>
      </c>
      <c r="O15">
        <v>0</v>
      </c>
      <c r="P15" s="2">
        <f>(L15/25)*(1/3)+(M15/10)*(1/2)</f>
        <v>0</v>
      </c>
      <c r="Q15" s="2">
        <f>(N15/25)*(1/3)+(O15/3)*(1/2)</f>
        <v>1.3333333333333332E-2</v>
      </c>
      <c r="R15" s="2">
        <f>H15+P15+Q15</f>
        <v>1.1363333333333334</v>
      </c>
      <c r="S15" s="2">
        <f>R15-0.6</f>
        <v>0.53633333333333344</v>
      </c>
      <c r="T15" t="str">
        <f>IF(R15&gt;=1.506,"A-,A",IF(R15&gt;=0.92,"B-,B,B+",IF(R15&gt;=0.677,"C-,C,C+",IF(R15&gt;=0.548,"D-,D,D+","F"))))</f>
        <v>B-,B,B+</v>
      </c>
      <c r="U15" t="str">
        <f>IF(T15="A-,A",IF(R15&gt;=1.7,"A","A-"),IF(T15="B-,B,B+",IF(R15&gt;=1.3,"B+",IF(R15&gt;=1.1,"B","B-")),IF(T15="C-,C,C+",IF(R15&gt;=0.8,"C+",IF(R15&gt;=0.7,"C","C-")),IF(T15="D-,D,D+",IF(R15&gt;=0.57,"D+",IF(R15&gt;=0.55,"D","D-")),"F"))))</f>
        <v>B</v>
      </c>
    </row>
    <row r="16" spans="1:21" x14ac:dyDescent="0.25">
      <c r="A16" t="s">
        <v>24</v>
      </c>
      <c r="B16" t="s">
        <v>25</v>
      </c>
      <c r="C16" t="s">
        <v>26</v>
      </c>
      <c r="D16" t="s">
        <v>83</v>
      </c>
      <c r="E16" t="s">
        <v>95</v>
      </c>
      <c r="F16" t="s">
        <v>92</v>
      </c>
      <c r="G16">
        <v>2</v>
      </c>
      <c r="H16">
        <v>1.3120000000000001</v>
      </c>
      <c r="I16">
        <f>H16-0.6</f>
        <v>0.71200000000000008</v>
      </c>
      <c r="J16" t="str">
        <f>IF(H16&gt;=1.506,"A-,A",IF(H16&gt;=0.92,"B-,B,B+",IF(H16&gt;=0.677,"C-,C,C+",IF(H16&gt;=0.548,"D-,D,D+","F"))))</f>
        <v>B-,B,B+</v>
      </c>
      <c r="K16" t="str">
        <f>IF(J16="A-,A",IF(H16&gt;=1.7,"A","A-"),IF(J16="B-,B,B+",IF(H16&gt;=1.3,"B+",IF(H16&gt;=1.1,"B","B-")),IF(J16="C-,C,C+",IF(H16&gt;=0.8,"C+",IF(H16&gt;=0.7,"C","C-")),IF(J16="D-,D,D+",IF(H16&gt;=0.57,"D+",IF(H16&gt;=0.55,"D","D-")),"F"))))</f>
        <v>B+</v>
      </c>
      <c r="L16">
        <v>1</v>
      </c>
      <c r="M16">
        <v>0</v>
      </c>
      <c r="N16">
        <v>1</v>
      </c>
      <c r="O16">
        <v>0</v>
      </c>
      <c r="P16" s="2">
        <f>(L16/25)*(1/3)+(M16/10)*(1/2)</f>
        <v>1.3333333333333332E-2</v>
      </c>
      <c r="Q16" s="2">
        <f>(N16/25)*(1/3)+(O16/3)*(1/2)</f>
        <v>1.3333333333333332E-2</v>
      </c>
      <c r="R16" s="2">
        <f>H16+P16+Q16</f>
        <v>1.3386666666666669</v>
      </c>
      <c r="S16" s="2">
        <f>R16-0.6</f>
        <v>0.73866666666666692</v>
      </c>
      <c r="T16" t="str">
        <f>IF(R16&gt;=1.506,"A-,A",IF(R16&gt;=0.92,"B-,B,B+",IF(R16&gt;=0.677,"C-,C,C+",IF(R16&gt;=0.548,"D-,D,D+","F"))))</f>
        <v>B-,B,B+</v>
      </c>
      <c r="U16" t="str">
        <f>IF(T16="A-,A",IF(R16&gt;=1.7,"A","A-"),IF(T16="B-,B,B+",IF(R16&gt;=1.3,"B+",IF(R16&gt;=1.1,"B","B-")),IF(T16="C-,C,C+",IF(R16&gt;=0.8,"C+",IF(R16&gt;=0.7,"C","C-")),IF(T16="D-,D,D+",IF(R16&gt;=0.57,"D+",IF(R16&gt;=0.55,"D","D-")),"F"))))</f>
        <v>B+</v>
      </c>
    </row>
    <row r="17" spans="1:21" x14ac:dyDescent="0.25">
      <c r="A17" t="s">
        <v>30</v>
      </c>
      <c r="B17" t="s">
        <v>31</v>
      </c>
      <c r="C17" t="s">
        <v>32</v>
      </c>
      <c r="D17" t="s">
        <v>83</v>
      </c>
      <c r="G17">
        <v>2</v>
      </c>
      <c r="H17">
        <v>1.111</v>
      </c>
      <c r="I17">
        <f>H17-0.6</f>
        <v>0.51100000000000001</v>
      </c>
      <c r="J17" t="str">
        <f>IF(H17&gt;=1.506,"A-,A",IF(H17&gt;=0.92,"B-,B,B+",IF(H17&gt;=0.677,"C-,C,C+",IF(H17&gt;=0.548,"D-,D,D+","F"))))</f>
        <v>B-,B,B+</v>
      </c>
      <c r="K17" t="str">
        <f>IF(J17="A-,A",IF(H17&gt;=1.7,"A","A-"),IF(J17="B-,B,B+",IF(H17&gt;=1.3,"B+",IF(H17&gt;=1.1,"B","B-")),IF(J17="C-,C,C+",IF(H17&gt;=0.8,"C+",IF(H17&gt;=0.7,"C","C-")),IF(J17="D-,D,D+",IF(H17&gt;=0.57,"D+",IF(H17&gt;=0.55,"D","D-")),"F"))))</f>
        <v>B</v>
      </c>
      <c r="L17">
        <v>0</v>
      </c>
      <c r="M17">
        <v>0</v>
      </c>
      <c r="N17">
        <v>1</v>
      </c>
      <c r="O17">
        <v>0</v>
      </c>
      <c r="P17" s="2">
        <f>(L17/25)*(1/3)+(M17/10)*(1/2)</f>
        <v>0</v>
      </c>
      <c r="Q17" s="2">
        <f>(N17/25)*(1/3)+(O17/3)*(1/2)</f>
        <v>1.3333333333333332E-2</v>
      </c>
      <c r="R17" s="2">
        <f>H17+P17+Q17</f>
        <v>1.1243333333333334</v>
      </c>
      <c r="S17" s="2">
        <f>R17-0.6</f>
        <v>0.52433333333333343</v>
      </c>
      <c r="T17" t="str">
        <f>IF(R17&gt;=1.506,"A-,A",IF(R17&gt;=0.92,"B-,B,B+",IF(R17&gt;=0.677,"C-,C,C+",IF(R17&gt;=0.548,"D-,D,D+","F"))))</f>
        <v>B-,B,B+</v>
      </c>
      <c r="U17" t="str">
        <f>IF(T17="A-,A",IF(R17&gt;=1.7,"A","A-"),IF(T17="B-,B,B+",IF(R17&gt;=1.3,"B+",IF(R17&gt;=1.1,"B","B-")),IF(T17="C-,C,C+",IF(R17&gt;=0.8,"C+",IF(R17&gt;=0.7,"C","C-")),IF(T17="D-,D,D+",IF(R17&gt;=0.57,"D+",IF(R17&gt;=0.55,"D","D-")),"F"))))</f>
        <v>B</v>
      </c>
    </row>
    <row r="18" spans="1:21" x14ac:dyDescent="0.25">
      <c r="A18" t="s">
        <v>33</v>
      </c>
      <c r="B18" t="s">
        <v>34</v>
      </c>
      <c r="C18" t="s">
        <v>35</v>
      </c>
      <c r="D18" t="s">
        <v>83</v>
      </c>
      <c r="G18">
        <v>1</v>
      </c>
      <c r="H18">
        <v>1.708</v>
      </c>
      <c r="I18">
        <f>H18-0.6</f>
        <v>1.1080000000000001</v>
      </c>
      <c r="J18" t="str">
        <f>IF(H18&gt;=1.506,"A-,A",IF(H18&gt;=0.92,"B-,B,B+",IF(H18&gt;=0.677,"C-,C,C+",IF(H18&gt;=0.548,"D-,D,D+","F"))))</f>
        <v>A-,A</v>
      </c>
      <c r="K18" t="str">
        <f>IF(J18="A-,A",IF(H18&gt;=1.7,"A","A-"),IF(J18="B-,B,B+",IF(H18&gt;=1.3,"B+",IF(H18&gt;=1.1,"B","B-")),IF(J18="C-,C,C+",IF(H18&gt;=0.8,"C+",IF(H18&gt;=0.7,"C","C-")),IF(J18="D-,D,D+",IF(H18&gt;=0.57,"D+",IF(H18&gt;=0.55,"D","D-")),"F"))))</f>
        <v>A</v>
      </c>
      <c r="L18">
        <v>0</v>
      </c>
      <c r="M18">
        <v>0</v>
      </c>
      <c r="N18">
        <v>3</v>
      </c>
      <c r="O18">
        <v>1</v>
      </c>
      <c r="P18" s="2">
        <f>(L18/25)*(1/3)+(M18/10)*(1/2)</f>
        <v>0</v>
      </c>
      <c r="Q18" s="2">
        <f>(N18/25)*(1/3)+(O18/3)*(1/2)</f>
        <v>0.20666666666666667</v>
      </c>
      <c r="R18" s="2">
        <f>H18+P18+Q18</f>
        <v>1.9146666666666667</v>
      </c>
      <c r="S18" s="2">
        <f>R18-0.6</f>
        <v>1.3146666666666667</v>
      </c>
      <c r="T18" t="str">
        <f>IF(R18&gt;=1.506,"A-,A",IF(R18&gt;=0.92,"B-,B,B+",IF(R18&gt;=0.677,"C-,C,C+",IF(R18&gt;=0.548,"D-,D,D+","F"))))</f>
        <v>A-,A</v>
      </c>
      <c r="U18" t="str">
        <f>IF(T18="A-,A",IF(R18&gt;=1.7,"A","A-"),IF(T18="B-,B,B+",IF(R18&gt;=1.3,"B+",IF(R18&gt;=1.1,"B","B-")),IF(T18="C-,C,C+",IF(R18&gt;=0.8,"C+",IF(R18&gt;=0.7,"C","C-")),IF(T18="D-,D,D+",IF(R18&gt;=0.57,"D+",IF(R18&gt;=0.55,"D","D-")),"F"))))</f>
        <v>A</v>
      </c>
    </row>
    <row r="19" spans="1:21" x14ac:dyDescent="0.25">
      <c r="A19" t="s">
        <v>36</v>
      </c>
      <c r="B19" t="s">
        <v>37</v>
      </c>
      <c r="C19" t="s">
        <v>38</v>
      </c>
      <c r="D19" t="s">
        <v>83</v>
      </c>
      <c r="E19" t="s">
        <v>95</v>
      </c>
      <c r="F19" t="s">
        <v>82</v>
      </c>
      <c r="G19">
        <v>3</v>
      </c>
      <c r="H19">
        <v>1.165</v>
      </c>
      <c r="I19">
        <f>H19-0.6</f>
        <v>0.56500000000000006</v>
      </c>
      <c r="J19" t="str">
        <f>IF(H19&gt;=1.506,"A-,A",IF(H19&gt;=0.92,"B-,B,B+",IF(H19&gt;=0.677,"C-,C,C+",IF(H19&gt;=0.548,"D-,D,D+","F"))))</f>
        <v>B-,B,B+</v>
      </c>
      <c r="K19" t="str">
        <f>IF(J19="A-,A",IF(H19&gt;=1.7,"A","A-"),IF(J19="B-,B,B+",IF(H19&gt;=1.3,"B+",IF(H19&gt;=1.1,"B","B-")),IF(J19="C-,C,C+",IF(H19&gt;=0.8,"C+",IF(H19&gt;=0.7,"C","C-")),IF(J19="D-,D,D+",IF(H19&gt;=0.57,"D+",IF(H19&gt;=0.55,"D","D-")),"F"))))</f>
        <v>B</v>
      </c>
      <c r="L19">
        <v>2</v>
      </c>
      <c r="M19">
        <v>0</v>
      </c>
      <c r="N19">
        <v>3</v>
      </c>
      <c r="O19">
        <v>0</v>
      </c>
      <c r="P19" s="2">
        <f>(L19/25)*(1/3)+(M19/10)*(1/2)</f>
        <v>2.6666666666666665E-2</v>
      </c>
      <c r="Q19" s="2">
        <f>(N19/25)*(1/3)+(O19/3)*(1/2)</f>
        <v>3.9999999999999994E-2</v>
      </c>
      <c r="R19" s="2">
        <f>H19+P19+Q19</f>
        <v>1.2316666666666667</v>
      </c>
      <c r="S19" s="2">
        <f>R19-0.6</f>
        <v>0.63166666666666671</v>
      </c>
      <c r="T19" t="str">
        <f>IF(R19&gt;=1.506,"A-,A",IF(R19&gt;=0.92,"B-,B,B+",IF(R19&gt;=0.677,"C-,C,C+",IF(R19&gt;=0.548,"D-,D,D+","F"))))</f>
        <v>B-,B,B+</v>
      </c>
      <c r="U19" t="str">
        <f>IF(T19="A-,A",IF(R19&gt;=1.7,"A","A-"),IF(T19="B-,B,B+",IF(R19&gt;=1.3,"B+",IF(R19&gt;=1.1,"B","B-")),IF(T19="C-,C,C+",IF(R19&gt;=0.8,"C+",IF(R19&gt;=0.7,"C","C-")),IF(T19="D-,D,D+",IF(R19&gt;=0.57,"D+",IF(R19&gt;=0.55,"D","D-")),"F"))))</f>
        <v>B</v>
      </c>
    </row>
    <row r="20" spans="1:21" x14ac:dyDescent="0.25">
      <c r="A20" t="s">
        <v>39</v>
      </c>
      <c r="B20" t="s">
        <v>40</v>
      </c>
      <c r="C20" t="s">
        <v>41</v>
      </c>
      <c r="D20" t="s">
        <v>83</v>
      </c>
      <c r="E20" t="s">
        <v>95</v>
      </c>
      <c r="F20" t="s">
        <v>82</v>
      </c>
      <c r="G20">
        <v>2</v>
      </c>
      <c r="H20">
        <v>1.101</v>
      </c>
      <c r="I20">
        <f>H20-0.6</f>
        <v>0.501</v>
      </c>
      <c r="J20" t="str">
        <f>IF(H20&gt;=1.506,"A-,A",IF(H20&gt;=0.92,"B-,B,B+",IF(H20&gt;=0.677,"C-,C,C+",IF(H20&gt;=0.548,"D-,D,D+","F"))))</f>
        <v>B-,B,B+</v>
      </c>
      <c r="K20" t="str">
        <f>IF(J20="A-,A",IF(H20&gt;=1.7,"A","A-"),IF(J20="B-,B,B+",IF(H20&gt;=1.3,"B+",IF(H20&gt;=1.1,"B","B-")),IF(J20="C-,C,C+",IF(H20&gt;=0.8,"C+",IF(H20&gt;=0.7,"C","C-")),IF(J20="D-,D,D+",IF(H20&gt;=0.57,"D+",IF(H20&gt;=0.55,"D","D-")),"F"))))</f>
        <v>B</v>
      </c>
      <c r="L20">
        <v>4</v>
      </c>
      <c r="M20">
        <v>0</v>
      </c>
      <c r="N20">
        <v>3</v>
      </c>
      <c r="O20">
        <v>1</v>
      </c>
      <c r="P20" s="2">
        <f>(L20/25)*(1/3)+(M20/10)*(1/2)</f>
        <v>5.333333333333333E-2</v>
      </c>
      <c r="Q20" s="2">
        <f>(N20/25)*(1/3)+(O20/3)*(1/2)</f>
        <v>0.20666666666666667</v>
      </c>
      <c r="R20" s="2">
        <f>H20+P20+Q20</f>
        <v>1.3609999999999998</v>
      </c>
      <c r="S20" s="2">
        <f>R20-0.6</f>
        <v>0.76099999999999979</v>
      </c>
      <c r="T20" t="str">
        <f>IF(R20&gt;=1.506,"A-,A",IF(R20&gt;=0.92,"B-,B,B+",IF(R20&gt;=0.677,"C-,C,C+",IF(R20&gt;=0.548,"D-,D,D+","F"))))</f>
        <v>B-,B,B+</v>
      </c>
      <c r="U20" t="str">
        <f>IF(T20="A-,A",IF(R20&gt;=1.7,"A","A-"),IF(T20="B-,B,B+",IF(R20&gt;=1.3,"B+",IF(R20&gt;=1.1,"B","B-")),IF(T20="C-,C,C+",IF(R20&gt;=0.8,"C+",IF(R20&gt;=0.7,"C","C-")),IF(T20="D-,D,D+",IF(R20&gt;=0.57,"D+",IF(R20&gt;=0.55,"D","D-")),"F"))))</f>
        <v>B+</v>
      </c>
    </row>
    <row r="21" spans="1:21" x14ac:dyDescent="0.25">
      <c r="A21" t="s">
        <v>42</v>
      </c>
      <c r="B21" t="s">
        <v>43</v>
      </c>
      <c r="C21" t="s">
        <v>44</v>
      </c>
      <c r="D21" t="s">
        <v>83</v>
      </c>
      <c r="E21" t="s">
        <v>95</v>
      </c>
      <c r="F21" t="s">
        <v>82</v>
      </c>
      <c r="G21">
        <v>2</v>
      </c>
      <c r="H21">
        <v>1.0129999999999999</v>
      </c>
      <c r="I21">
        <f>H21-0.6</f>
        <v>0.41299999999999992</v>
      </c>
      <c r="J21" t="str">
        <f>IF(H21&gt;=1.506,"A-,A",IF(H21&gt;=0.92,"B-,B,B+",IF(H21&gt;=0.677,"C-,C,C+",IF(H21&gt;=0.548,"D-,D,D+","F"))))</f>
        <v>B-,B,B+</v>
      </c>
      <c r="K21" t="str">
        <f>IF(J21="A-,A",IF(H21&gt;=1.7,"A","A-"),IF(J21="B-,B,B+",IF(H21&gt;=1.3,"B+",IF(H21&gt;=1.1,"B","B-")),IF(J21="C-,C,C+",IF(H21&gt;=0.8,"C+",IF(H21&gt;=0.7,"C","C-")),IF(J21="D-,D,D+",IF(H21&gt;=0.57,"D+",IF(H21&gt;=0.55,"D","D-")),"F"))))</f>
        <v>B-</v>
      </c>
      <c r="L21">
        <v>1</v>
      </c>
      <c r="M21">
        <v>0</v>
      </c>
      <c r="N21">
        <v>3</v>
      </c>
      <c r="O21">
        <v>0</v>
      </c>
      <c r="P21" s="2">
        <f>(L21/25)*(1/3)+(M21/10)*(1/2)</f>
        <v>1.3333333333333332E-2</v>
      </c>
      <c r="Q21" s="2">
        <f>(N21/25)*(1/3)+(O21/3)*(1/2)</f>
        <v>3.9999999999999994E-2</v>
      </c>
      <c r="R21" s="2">
        <f>H21+P21+Q21</f>
        <v>1.0663333333333334</v>
      </c>
      <c r="S21" s="2">
        <f>R21-0.6</f>
        <v>0.46633333333333338</v>
      </c>
      <c r="T21" t="str">
        <f>IF(R21&gt;=1.506,"A-,A",IF(R21&gt;=0.92,"B-,B,B+",IF(R21&gt;=0.677,"C-,C,C+",IF(R21&gt;=0.548,"D-,D,D+","F"))))</f>
        <v>B-,B,B+</v>
      </c>
      <c r="U21" t="str">
        <f>IF(T21="A-,A",IF(R21&gt;=1.7,"A","A-"),IF(T21="B-,B,B+",IF(R21&gt;=1.3,"B+",IF(R21&gt;=1.1,"B","B-")),IF(T21="C-,C,C+",IF(R21&gt;=0.8,"C+",IF(R21&gt;=0.7,"C","C-")),IF(T21="D-,D,D+",IF(R21&gt;=0.57,"D+",IF(R21&gt;=0.55,"D","D-")),"F"))))</f>
        <v>B-</v>
      </c>
    </row>
    <row r="22" spans="1:21" x14ac:dyDescent="0.25">
      <c r="A22" t="s">
        <v>45</v>
      </c>
      <c r="B22" t="s">
        <v>46</v>
      </c>
      <c r="C22" t="s">
        <v>47</v>
      </c>
      <c r="D22" t="s">
        <v>83</v>
      </c>
      <c r="H22">
        <v>1.179</v>
      </c>
      <c r="I22">
        <f>H22-0.6</f>
        <v>0.57900000000000007</v>
      </c>
      <c r="J22" t="str">
        <f>IF(H22&gt;=1.506,"A-,A",IF(H22&gt;=0.92,"B-,B,B+",IF(H22&gt;=0.677,"C-,C,C+",IF(H22&gt;=0.548,"D-,D,D+","F"))))</f>
        <v>B-,B,B+</v>
      </c>
      <c r="K22" t="str">
        <f>IF(J22="A-,A",IF(H22&gt;=1.7,"A","A-"),IF(J22="B-,B,B+",IF(H22&gt;=1.3,"B+",IF(H22&gt;=1.1,"B","B-")),IF(J22="C-,C,C+",IF(H22&gt;=0.8,"C+",IF(H22&gt;=0.7,"C","C-")),IF(J22="D-,D,D+",IF(H22&gt;=0.57,"D+",IF(H22&gt;=0.55,"D","D-")),"F"))))</f>
        <v>B</v>
      </c>
      <c r="L22">
        <v>1</v>
      </c>
      <c r="M22">
        <v>0</v>
      </c>
      <c r="N22">
        <v>0</v>
      </c>
      <c r="O22">
        <v>1</v>
      </c>
      <c r="P22" s="2">
        <f>(L22/25)*(1/3)+(M22/10)*(1/2)</f>
        <v>1.3333333333333332E-2</v>
      </c>
      <c r="Q22" s="2">
        <f>(N22/25)*(1/3)+(O22/3)*(1/2)</f>
        <v>0.16666666666666666</v>
      </c>
      <c r="R22" s="2">
        <f>H22+P22+Q22</f>
        <v>1.3590000000000002</v>
      </c>
      <c r="S22" s="2">
        <f>R22-0.6</f>
        <v>0.75900000000000023</v>
      </c>
      <c r="T22" t="str">
        <f>IF(R22&gt;=1.506,"A-,A",IF(R22&gt;=0.92,"B-,B,B+",IF(R22&gt;=0.677,"C-,C,C+",IF(R22&gt;=0.548,"D-,D,D+","F"))))</f>
        <v>B-,B,B+</v>
      </c>
      <c r="U22" t="str">
        <f>IF(T22="A-,A",IF(R22&gt;=1.7,"A","A-"),IF(T22="B-,B,B+",IF(R22&gt;=1.3,"B+",IF(R22&gt;=1.1,"B","B-")),IF(T22="C-,C,C+",IF(R22&gt;=0.8,"C+",IF(R22&gt;=0.7,"C","C-")),IF(T22="D-,D,D+",IF(R22&gt;=0.57,"D+",IF(R22&gt;=0.55,"D","D-")),"F"))))</f>
        <v>B+</v>
      </c>
    </row>
    <row r="23" spans="1:21" x14ac:dyDescent="0.25">
      <c r="A23" t="s">
        <v>97</v>
      </c>
      <c r="B23" t="s">
        <v>98</v>
      </c>
      <c r="C23" t="s">
        <v>99</v>
      </c>
      <c r="D23" t="s">
        <v>83</v>
      </c>
      <c r="E23" t="s">
        <v>95</v>
      </c>
      <c r="F23" t="s">
        <v>100</v>
      </c>
      <c r="G23">
        <v>2</v>
      </c>
      <c r="H23">
        <v>1.484</v>
      </c>
      <c r="I23">
        <f>H23-0.6</f>
        <v>0.88400000000000001</v>
      </c>
      <c r="J23" t="str">
        <f>IF(H23&gt;=1.506,"A-,A",IF(H23&gt;=0.92,"B-,B,B+",IF(H23&gt;=0.677,"C-,C,C+",IF(H23&gt;=0.548,"D-,D,D+","F"))))</f>
        <v>B-,B,B+</v>
      </c>
      <c r="K23" t="str">
        <f>IF(J23="A-,A",IF(H23&gt;=1.7,"A","A-"),IF(J23="B-,B,B+",IF(H23&gt;=1.3,"B+",IF(H23&gt;=1.1,"B","B-")),IF(J23="C-,C,C+",IF(H23&gt;=0.8,"C+",IF(H23&gt;=0.7,"C","C-")),IF(J23="D-,D,D+",IF(H23&gt;=0.57,"D+",IF(H23&gt;=0.55,"D","D-")),"F"))))</f>
        <v>B+</v>
      </c>
      <c r="L23">
        <v>3</v>
      </c>
      <c r="M23">
        <v>0</v>
      </c>
      <c r="N23">
        <v>1</v>
      </c>
      <c r="O23">
        <v>0</v>
      </c>
      <c r="P23" s="2">
        <f>(L23/25)*(1/3)+(M23/10)*(1/2)</f>
        <v>3.9999999999999994E-2</v>
      </c>
      <c r="Q23" s="2">
        <f>(N23/25)*(1/3)+(O23/3)*(1/2)</f>
        <v>1.3333333333333332E-2</v>
      </c>
      <c r="R23" s="2">
        <f>H23+P23+Q23</f>
        <v>1.5373333333333334</v>
      </c>
      <c r="S23" s="2">
        <f>R23-0.6</f>
        <v>0.93733333333333346</v>
      </c>
      <c r="T23" t="str">
        <f>IF(R23&gt;=1.506,"A-,A",IF(R23&gt;=0.92,"B-,B,B+",IF(R23&gt;=0.677,"C-,C,C+",IF(R23&gt;=0.548,"D-,D,D+","F"))))</f>
        <v>A-,A</v>
      </c>
      <c r="U23" t="str">
        <f>IF(T23="A-,A",IF(R23&gt;=1.7,"A","A-"),IF(T23="B-,B,B+",IF(R23&gt;=1.3,"B+",IF(R23&gt;=1.1,"B","B-")),IF(T23="C-,C,C+",IF(R23&gt;=0.8,"C+",IF(R23&gt;=0.7,"C","C-")),IF(T23="D-,D,D+",IF(R23&gt;=0.57,"D+",IF(R23&gt;=0.55,"D","D-")),"F"))))</f>
        <v>A-</v>
      </c>
    </row>
    <row r="24" spans="1:21" x14ac:dyDescent="0.25">
      <c r="A24" t="s">
        <v>54</v>
      </c>
      <c r="B24" t="s">
        <v>55</v>
      </c>
      <c r="C24" t="s">
        <v>56</v>
      </c>
      <c r="D24" t="s">
        <v>83</v>
      </c>
      <c r="E24" t="s">
        <v>95</v>
      </c>
      <c r="F24" t="s">
        <v>93</v>
      </c>
      <c r="G24">
        <v>3</v>
      </c>
      <c r="H24">
        <v>0.76200000000000001</v>
      </c>
      <c r="I24">
        <f>H24-0.6</f>
        <v>0.16200000000000003</v>
      </c>
      <c r="J24" t="str">
        <f>IF(H24&gt;=1.506,"A-,A",IF(H24&gt;=0.92,"B-,B,B+",IF(H24&gt;=0.677,"C-,C,C+",IF(H24&gt;=0.548,"D-,D,D+","F"))))</f>
        <v>C-,C,C+</v>
      </c>
      <c r="K24" t="str">
        <f>IF(J24="A-,A",IF(H24&gt;=1.7,"A","A-"),IF(J24="B-,B,B+",IF(H24&gt;=1.3,"B+",IF(H24&gt;=1.1,"B","B-")),IF(J24="C-,C,C+",IF(H24&gt;=0.8,"C+",IF(H24&gt;=0.7,"C","C-")),IF(J24="D-,D,D+",IF(H24&gt;=0.57,"D+",IF(H24&gt;=0.55,"D","D-")),"F"))))</f>
        <v>C</v>
      </c>
      <c r="L24">
        <v>0</v>
      </c>
      <c r="M24">
        <v>0</v>
      </c>
      <c r="N24">
        <v>2</v>
      </c>
      <c r="O24">
        <v>0</v>
      </c>
      <c r="P24" s="2">
        <f>(L24/25)*(1/3)+(M24/10)*(1/2)</f>
        <v>0</v>
      </c>
      <c r="Q24" s="2">
        <f>(N24/25)*(1/3)+(O24/3)*(1/2)</f>
        <v>2.6666666666666665E-2</v>
      </c>
      <c r="R24" s="2">
        <f>H24+P24+Q24</f>
        <v>0.78866666666666663</v>
      </c>
      <c r="S24" s="2">
        <f>R24-0.6</f>
        <v>0.18866666666666665</v>
      </c>
      <c r="T24" t="str">
        <f>IF(R24&gt;=1.506,"A-,A",IF(R24&gt;=0.92,"B-,B,B+",IF(R24&gt;=0.677,"C-,C,C+",IF(R24&gt;=0.548,"D-,D,D+","F"))))</f>
        <v>C-,C,C+</v>
      </c>
      <c r="U24" t="str">
        <f>IF(T24="A-,A",IF(R24&gt;=1.7,"A","A-"),IF(T24="B-,B,B+",IF(R24&gt;=1.3,"B+",IF(R24&gt;=1.1,"B","B-")),IF(T24="C-,C,C+",IF(R24&gt;=0.8,"C+",IF(R24&gt;=0.7,"C","C-")),IF(T24="D-,D,D+",IF(R24&gt;=0.57,"D+",IF(R24&gt;=0.55,"D","D-")),"F"))))</f>
        <v>C</v>
      </c>
    </row>
    <row r="25" spans="1:21" x14ac:dyDescent="0.25">
      <c r="A25" t="s">
        <v>66</v>
      </c>
      <c r="B25" t="s">
        <v>67</v>
      </c>
      <c r="C25" t="s">
        <v>68</v>
      </c>
      <c r="D25" t="s">
        <v>83</v>
      </c>
      <c r="E25" t="s">
        <v>95</v>
      </c>
      <c r="F25" t="s">
        <v>90</v>
      </c>
      <c r="G25">
        <v>2</v>
      </c>
      <c r="H25">
        <v>1.4379999999999999</v>
      </c>
      <c r="I25">
        <f>H25-0.6</f>
        <v>0.83799999999999997</v>
      </c>
      <c r="J25" t="str">
        <f>IF(H25&gt;=1.506,"A-,A",IF(H25&gt;=0.92,"B-,B,B+",IF(H25&gt;=0.677,"C-,C,C+",IF(H25&gt;=0.548,"D-,D,D+","F"))))</f>
        <v>B-,B,B+</v>
      </c>
      <c r="K25" t="str">
        <f>IF(J25="A-,A",IF(H25&gt;=1.7,"A","A-"),IF(J25="B-,B,B+",IF(H25&gt;=1.3,"B+",IF(H25&gt;=1.1,"B","B-")),IF(J25="C-,C,C+",IF(H25&gt;=0.8,"C+",IF(H25&gt;=0.7,"C","C-")),IF(J25="D-,D,D+",IF(H25&gt;=0.57,"D+",IF(H25&gt;=0.55,"D","D-")),"F"))))</f>
        <v>B+</v>
      </c>
      <c r="L25">
        <v>0</v>
      </c>
      <c r="M25">
        <v>0</v>
      </c>
      <c r="N25">
        <v>3</v>
      </c>
      <c r="O25">
        <v>0</v>
      </c>
      <c r="P25" s="2">
        <f>(L25/25)*(1/3)+(M25/10)*(1/2)</f>
        <v>0</v>
      </c>
      <c r="Q25" s="2">
        <f>(N25/25)*(1/3)+(O25/3)*(1/2)</f>
        <v>3.9999999999999994E-2</v>
      </c>
      <c r="R25" s="2">
        <f>H25+P25+Q25</f>
        <v>1.478</v>
      </c>
      <c r="S25" s="2">
        <f>R25-0.6</f>
        <v>0.878</v>
      </c>
      <c r="T25" t="str">
        <f>IF(R25&gt;=1.506,"A-,A",IF(R25&gt;=0.92,"B-,B,B+",IF(R25&gt;=0.677,"C-,C,C+",IF(R25&gt;=0.548,"D-,D,D+","F"))))</f>
        <v>B-,B,B+</v>
      </c>
      <c r="U25" t="str">
        <f>IF(T25="A-,A",IF(R25&gt;=1.7,"A","A-"),IF(T25="B-,B,B+",IF(R25&gt;=1.3,"B+",IF(R25&gt;=1.1,"B","B-")),IF(T25="C-,C,C+",IF(R25&gt;=0.8,"C+",IF(R25&gt;=0.7,"C","C-")),IF(T25="D-,D,D+",IF(R25&gt;=0.57,"D+",IF(R25&gt;=0.55,"D","D-")),"F"))))</f>
        <v>B+</v>
      </c>
    </row>
    <row r="26" spans="1:21" x14ac:dyDescent="0.25">
      <c r="A26" t="s">
        <v>69</v>
      </c>
      <c r="B26" t="s">
        <v>70</v>
      </c>
      <c r="C26" t="s">
        <v>71</v>
      </c>
      <c r="D26" t="s">
        <v>83</v>
      </c>
      <c r="E26" t="s">
        <v>95</v>
      </c>
      <c r="F26" t="s">
        <v>82</v>
      </c>
      <c r="G26">
        <v>2</v>
      </c>
      <c r="H26">
        <v>1.742</v>
      </c>
      <c r="I26">
        <f>H26-0.6</f>
        <v>1.1419999999999999</v>
      </c>
      <c r="J26" t="str">
        <f>IF(H26&gt;=1.506,"A-,A",IF(H26&gt;=0.92,"B-,B,B+",IF(H26&gt;=0.677,"C-,C,C+",IF(H26&gt;=0.548,"D-,D,D+","F"))))</f>
        <v>A-,A</v>
      </c>
      <c r="K26" t="str">
        <f>IF(J26="A-,A",IF(H26&gt;=1.7,"A","A-"),IF(J26="B-,B,B+",IF(H26&gt;=1.3,"B+",IF(H26&gt;=1.1,"B","B-")),IF(J26="C-,C,C+",IF(H26&gt;=0.8,"C+",IF(H26&gt;=0.7,"C","C-")),IF(J26="D-,D,D+",IF(H26&gt;=0.57,"D+",IF(H26&gt;=0.55,"D","D-")),"F"))))</f>
        <v>A</v>
      </c>
      <c r="L26">
        <v>1</v>
      </c>
      <c r="M26">
        <v>0</v>
      </c>
      <c r="N26">
        <v>5</v>
      </c>
      <c r="O26">
        <v>0</v>
      </c>
      <c r="P26" s="2">
        <f>(L26/25)*(1/3)+(M26/10)*(1/2)</f>
        <v>1.3333333333333332E-2</v>
      </c>
      <c r="Q26" s="2">
        <f>(N26/25)*(1/3)+(O26/3)*(1/2)</f>
        <v>6.6666666666666666E-2</v>
      </c>
      <c r="R26" s="2">
        <f>H26+P26+Q26</f>
        <v>1.8220000000000001</v>
      </c>
      <c r="S26" s="2">
        <f>R26-0.6</f>
        <v>1.222</v>
      </c>
      <c r="T26" t="str">
        <f>IF(R26&gt;=1.506,"A-,A",IF(R26&gt;=0.92,"B-,B,B+",IF(R26&gt;=0.677,"C-,C,C+",IF(R26&gt;=0.548,"D-,D,D+","F"))))</f>
        <v>A-,A</v>
      </c>
      <c r="U26" t="str">
        <f>IF(T26="A-,A",IF(R26&gt;=1.7,"A","A-"),IF(T26="B-,B,B+",IF(R26&gt;=1.3,"B+",IF(R26&gt;=1.1,"B","B-")),IF(T26="C-,C,C+",IF(R26&gt;=0.8,"C+",IF(R26&gt;=0.7,"C","C-")),IF(T26="D-,D,D+",IF(R26&gt;=0.57,"D+",IF(R26&gt;=0.55,"D","D-")),"F"))))</f>
        <v>A</v>
      </c>
    </row>
    <row r="27" spans="1:21" x14ac:dyDescent="0.25">
      <c r="A27" t="s">
        <v>72</v>
      </c>
      <c r="B27" t="s">
        <v>73</v>
      </c>
      <c r="C27" t="s">
        <v>74</v>
      </c>
      <c r="D27" t="s">
        <v>83</v>
      </c>
      <c r="G27">
        <v>2</v>
      </c>
      <c r="H27">
        <v>1.284</v>
      </c>
      <c r="I27">
        <f>H27-0.6</f>
        <v>0.68400000000000005</v>
      </c>
      <c r="J27" t="str">
        <f>IF(H27&gt;=1.506,"A-,A",IF(H27&gt;=0.92,"B-,B,B+",IF(H27&gt;=0.677,"C-,C,C+",IF(H27&gt;=0.548,"D-,D,D+","F"))))</f>
        <v>B-,B,B+</v>
      </c>
      <c r="K27" t="str">
        <f>IF(J27="A-,A",IF(H27&gt;=1.7,"A","A-"),IF(J27="B-,B,B+",IF(H27&gt;=1.3,"B+",IF(H27&gt;=1.1,"B","B-")),IF(J27="C-,C,C+",IF(H27&gt;=0.8,"C+",IF(H27&gt;=0.7,"C","C-")),IF(J27="D-,D,D+",IF(H27&gt;=0.57,"D+",IF(H27&gt;=0.55,"D","D-")),"F"))))</f>
        <v>B</v>
      </c>
      <c r="L27">
        <v>1</v>
      </c>
      <c r="M27">
        <v>0</v>
      </c>
      <c r="N27">
        <v>5</v>
      </c>
      <c r="O27">
        <v>1</v>
      </c>
      <c r="P27" s="2">
        <f>(L27/25)*(1/3)+(M27/10)*(1/2)</f>
        <v>1.3333333333333332E-2</v>
      </c>
      <c r="Q27" s="2">
        <f>(N27/25)*(1/3)+(O27/3)*(1/2)</f>
        <v>0.23333333333333334</v>
      </c>
      <c r="R27" s="2">
        <f>H27+P27+Q27</f>
        <v>1.5306666666666668</v>
      </c>
      <c r="S27" s="2">
        <f>R27-0.6</f>
        <v>0.93066666666666686</v>
      </c>
      <c r="T27" t="str">
        <f>IF(R27&gt;=1.506,"A-,A",IF(R27&gt;=0.92,"B-,B,B+",IF(R27&gt;=0.677,"C-,C,C+",IF(R27&gt;=0.548,"D-,D,D+","F"))))</f>
        <v>A-,A</v>
      </c>
      <c r="U27" t="str">
        <f>IF(T27="A-,A",IF(R27&gt;=1.7,"A","A-"),IF(T27="B-,B,B+",IF(R27&gt;=1.3,"B+",IF(R27&gt;=1.1,"B","B-")),IF(T27="C-,C,C+",IF(R27&gt;=0.8,"C+",IF(R27&gt;=0.7,"C","C-")),IF(T27="D-,D,D+",IF(R27&gt;=0.57,"D+",IF(R27&gt;=0.55,"D","D-")),"F"))))</f>
        <v>A-</v>
      </c>
    </row>
    <row r="28" spans="1:21" x14ac:dyDescent="0.25">
      <c r="A28" t="s">
        <v>75</v>
      </c>
      <c r="B28" t="s">
        <v>76</v>
      </c>
      <c r="C28" t="s">
        <v>77</v>
      </c>
      <c r="D28" t="s">
        <v>83</v>
      </c>
      <c r="E28" t="s">
        <v>95</v>
      </c>
      <c r="F28" t="s">
        <v>90</v>
      </c>
      <c r="G28">
        <v>2</v>
      </c>
      <c r="H28">
        <v>0.88300000000000001</v>
      </c>
      <c r="I28">
        <f>H28-0.6</f>
        <v>0.28300000000000003</v>
      </c>
      <c r="J28" t="str">
        <f>IF(H28&gt;=1.506,"A-,A",IF(H28&gt;=0.92,"B-,B,B+",IF(H28&gt;=0.677,"C-,C,C+",IF(H28&gt;=0.548,"D-,D,D+","F"))))</f>
        <v>C-,C,C+</v>
      </c>
      <c r="K28" t="str">
        <f>IF(J28="A-,A",IF(H28&gt;=1.7,"A","A-"),IF(J28="B-,B,B+",IF(H28&gt;=1.3,"B+",IF(H28&gt;=1.1,"B","B-")),IF(J28="C-,C,C+",IF(H28&gt;=0.8,"C+",IF(H28&gt;=0.7,"C","C-")),IF(J28="D-,D,D+",IF(H28&gt;=0.57,"D+",IF(H28&gt;=0.55,"D","D-")),"F"))))</f>
        <v>C+</v>
      </c>
      <c r="L28">
        <v>0</v>
      </c>
      <c r="M28">
        <v>0</v>
      </c>
      <c r="N28">
        <v>1</v>
      </c>
      <c r="O28">
        <v>0</v>
      </c>
      <c r="P28" s="2">
        <f>(L28/25)*(1/3)+(M28/10)*(1/2)</f>
        <v>0</v>
      </c>
      <c r="Q28" s="2">
        <f>(N28/25)*(1/3)+(O28/3)*(1/2)</f>
        <v>1.3333333333333332E-2</v>
      </c>
      <c r="R28" s="2">
        <f>H28+P28+Q28</f>
        <v>0.89633333333333332</v>
      </c>
      <c r="S28" s="2">
        <f>R28-0.6</f>
        <v>0.29633333333333334</v>
      </c>
      <c r="T28" t="str">
        <f>IF(R28&gt;=1.506,"A-,A",IF(R28&gt;=0.92,"B-,B,B+",IF(R28&gt;=0.677,"C-,C,C+",IF(R28&gt;=0.548,"D-,D,D+","F"))))</f>
        <v>C-,C,C+</v>
      </c>
      <c r="U28" t="str">
        <f>IF(T28="A-,A",IF(R28&gt;=1.7,"A","A-"),IF(T28="B-,B,B+",IF(R28&gt;=1.3,"B+",IF(R28&gt;=1.1,"B","B-")),IF(T28="C-,C,C+",IF(R28&gt;=0.8,"C+",IF(R28&gt;=0.7,"C","C-")),IF(T28="D-,D,D+",IF(R28&gt;=0.57,"D+",IF(R28&gt;=0.55,"D","D-")),"F"))))</f>
        <v>C+</v>
      </c>
    </row>
  </sheetData>
  <autoFilter ref="A1:U28" xr:uid="{64FE41AB-CD8C-467D-B384-BDA773A29C22}">
    <sortState xmlns:xlrd2="http://schemas.microsoft.com/office/spreadsheetml/2017/richdata2" ref="A2:U28">
      <sortCondition ref="D1:D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7A22-DA99-47B8-8CB6-040604B5EBD1}">
  <dimension ref="A1:M28"/>
  <sheetViews>
    <sheetView workbookViewId="0">
      <selection activeCell="H1" sqref="H1:M1"/>
    </sheetView>
  </sheetViews>
  <sheetFormatPr defaultRowHeight="15.75" x14ac:dyDescent="0.25"/>
  <cols>
    <col min="8" max="8" width="10.125" bestFit="1" customWidth="1"/>
    <col min="9" max="9" width="12.75" bestFit="1" customWidth="1"/>
    <col min="11" max="11" width="9.25" bestFit="1" customWidth="1"/>
    <col min="12" max="12" width="12.375" bestFit="1" customWidth="1"/>
    <col min="13" max="13" width="12.625" bestFit="1" customWidth="1"/>
  </cols>
  <sheetData>
    <row r="1" spans="1:13" x14ac:dyDescent="0.25">
      <c r="A1" t="s">
        <v>81</v>
      </c>
      <c r="B1" t="s">
        <v>80</v>
      </c>
      <c r="C1" t="s">
        <v>78</v>
      </c>
      <c r="D1" t="s">
        <v>107</v>
      </c>
      <c r="E1" t="s">
        <v>108</v>
      </c>
      <c r="F1" t="s">
        <v>109</v>
      </c>
      <c r="G1" t="s">
        <v>110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</row>
    <row r="2" spans="1:13" x14ac:dyDescent="0.25">
      <c r="A2" t="s">
        <v>97</v>
      </c>
      <c r="B2" t="s">
        <v>98</v>
      </c>
      <c r="C2" t="s">
        <v>83</v>
      </c>
      <c r="D2">
        <v>10</v>
      </c>
      <c r="E2">
        <v>1</v>
      </c>
      <c r="F2">
        <f t="shared" ref="F2:F25" si="0">D2+E2</f>
        <v>11</v>
      </c>
      <c r="G2" t="s">
        <v>82</v>
      </c>
      <c r="H2">
        <v>17</v>
      </c>
      <c r="I2">
        <v>3</v>
      </c>
      <c r="J2">
        <f>D2+H2</f>
        <v>27</v>
      </c>
      <c r="K2">
        <v>3</v>
      </c>
      <c r="L2">
        <f>J2+K2</f>
        <v>30</v>
      </c>
      <c r="M2" t="s">
        <v>112</v>
      </c>
    </row>
    <row r="3" spans="1:13" x14ac:dyDescent="0.25">
      <c r="A3" t="s">
        <v>75</v>
      </c>
      <c r="B3" t="s">
        <v>76</v>
      </c>
      <c r="C3" t="s">
        <v>82</v>
      </c>
      <c r="D3">
        <v>12</v>
      </c>
      <c r="E3">
        <v>1</v>
      </c>
      <c r="F3">
        <f t="shared" si="0"/>
        <v>13</v>
      </c>
      <c r="G3" t="s">
        <v>82</v>
      </c>
    </row>
    <row r="4" spans="1:13" x14ac:dyDescent="0.25">
      <c r="A4" t="s">
        <v>45</v>
      </c>
      <c r="B4" t="s">
        <v>46</v>
      </c>
      <c r="C4" t="s">
        <v>83</v>
      </c>
      <c r="D4">
        <v>12</v>
      </c>
      <c r="E4">
        <v>2</v>
      </c>
      <c r="F4">
        <f t="shared" si="0"/>
        <v>14</v>
      </c>
      <c r="G4" t="s">
        <v>82</v>
      </c>
    </row>
    <row r="5" spans="1:13" x14ac:dyDescent="0.25">
      <c r="A5" t="s">
        <v>39</v>
      </c>
      <c r="B5" t="s">
        <v>40</v>
      </c>
      <c r="C5" t="s">
        <v>83</v>
      </c>
      <c r="D5">
        <v>14</v>
      </c>
      <c r="E5">
        <v>1</v>
      </c>
      <c r="F5">
        <f t="shared" si="0"/>
        <v>15</v>
      </c>
      <c r="G5" t="s">
        <v>82</v>
      </c>
    </row>
    <row r="6" spans="1:13" x14ac:dyDescent="0.25">
      <c r="A6" t="s">
        <v>3</v>
      </c>
      <c r="B6" t="s">
        <v>4</v>
      </c>
      <c r="C6" t="s">
        <v>83</v>
      </c>
      <c r="D6">
        <v>14</v>
      </c>
      <c r="E6">
        <v>4</v>
      </c>
      <c r="F6">
        <f t="shared" si="0"/>
        <v>18</v>
      </c>
      <c r="G6" t="s">
        <v>82</v>
      </c>
      <c r="H6">
        <v>10</v>
      </c>
      <c r="I6">
        <v>0</v>
      </c>
      <c r="J6">
        <f>D6+H6</f>
        <v>24</v>
      </c>
      <c r="K6">
        <f>E6+I6</f>
        <v>4</v>
      </c>
      <c r="L6">
        <f>J6+K6</f>
        <v>28</v>
      </c>
      <c r="M6" t="s">
        <v>112</v>
      </c>
    </row>
    <row r="7" spans="1:13" x14ac:dyDescent="0.25">
      <c r="A7" t="s">
        <v>72</v>
      </c>
      <c r="B7" t="s">
        <v>73</v>
      </c>
      <c r="C7" t="s">
        <v>83</v>
      </c>
      <c r="D7">
        <v>18</v>
      </c>
      <c r="E7">
        <v>0</v>
      </c>
      <c r="F7">
        <f t="shared" si="0"/>
        <v>18</v>
      </c>
      <c r="G7" t="s">
        <v>82</v>
      </c>
    </row>
    <row r="8" spans="1:13" x14ac:dyDescent="0.25">
      <c r="A8" t="s">
        <v>36</v>
      </c>
      <c r="B8" t="s">
        <v>37</v>
      </c>
      <c r="C8" t="s">
        <v>83</v>
      </c>
      <c r="D8">
        <v>19</v>
      </c>
      <c r="E8">
        <v>0</v>
      </c>
      <c r="F8">
        <f t="shared" si="0"/>
        <v>19</v>
      </c>
      <c r="G8" t="s">
        <v>82</v>
      </c>
      <c r="H8">
        <v>8</v>
      </c>
      <c r="I8">
        <v>3</v>
      </c>
      <c r="J8">
        <f>D8+H8</f>
        <v>27</v>
      </c>
      <c r="K8">
        <f>E8+I8</f>
        <v>3</v>
      </c>
      <c r="L8">
        <f>J8+K8</f>
        <v>30</v>
      </c>
      <c r="M8" t="s">
        <v>112</v>
      </c>
    </row>
    <row r="9" spans="1:13" x14ac:dyDescent="0.25">
      <c r="A9" t="s">
        <v>51</v>
      </c>
      <c r="B9" t="s">
        <v>52</v>
      </c>
      <c r="C9" t="s">
        <v>82</v>
      </c>
      <c r="D9">
        <v>19</v>
      </c>
      <c r="E9">
        <v>2</v>
      </c>
      <c r="F9">
        <f t="shared" si="0"/>
        <v>21</v>
      </c>
      <c r="G9" t="s">
        <v>82</v>
      </c>
    </row>
    <row r="10" spans="1:13" x14ac:dyDescent="0.25">
      <c r="A10" t="s">
        <v>57</v>
      </c>
      <c r="B10" t="s">
        <v>58</v>
      </c>
      <c r="C10" t="s">
        <v>82</v>
      </c>
      <c r="D10">
        <v>20</v>
      </c>
      <c r="E10">
        <v>1</v>
      </c>
      <c r="F10">
        <f t="shared" si="0"/>
        <v>21</v>
      </c>
      <c r="G10" t="s">
        <v>112</v>
      </c>
      <c r="H10">
        <v>0</v>
      </c>
      <c r="I10">
        <v>0</v>
      </c>
      <c r="J10">
        <f>D10+H10</f>
        <v>20</v>
      </c>
      <c r="K10">
        <f>E10+I10</f>
        <v>1</v>
      </c>
      <c r="L10">
        <f>J10+K10</f>
        <v>21</v>
      </c>
      <c r="M10" t="s">
        <v>112</v>
      </c>
    </row>
    <row r="11" spans="1:13" x14ac:dyDescent="0.25">
      <c r="A11" t="s">
        <v>21</v>
      </c>
      <c r="B11" t="s">
        <v>22</v>
      </c>
      <c r="C11" t="s">
        <v>83</v>
      </c>
      <c r="D11">
        <v>21</v>
      </c>
      <c r="E11">
        <v>2</v>
      </c>
      <c r="F11">
        <f t="shared" si="0"/>
        <v>23</v>
      </c>
      <c r="G11" t="s">
        <v>112</v>
      </c>
    </row>
    <row r="12" spans="1:13" x14ac:dyDescent="0.25">
      <c r="A12" t="s">
        <v>69</v>
      </c>
      <c r="B12" t="s">
        <v>70</v>
      </c>
      <c r="C12" t="s">
        <v>83</v>
      </c>
      <c r="D12">
        <v>22</v>
      </c>
      <c r="E12">
        <v>1</v>
      </c>
      <c r="F12">
        <f t="shared" si="0"/>
        <v>23</v>
      </c>
      <c r="G12" t="s">
        <v>112</v>
      </c>
      <c r="H12">
        <v>2</v>
      </c>
      <c r="I12">
        <v>0</v>
      </c>
      <c r="J12">
        <f>D12+H12</f>
        <v>24</v>
      </c>
      <c r="K12">
        <f>E12+I12</f>
        <v>1</v>
      </c>
      <c r="L12">
        <f>J12+K12</f>
        <v>25</v>
      </c>
      <c r="M12" t="s">
        <v>112</v>
      </c>
    </row>
    <row r="13" spans="1:13" x14ac:dyDescent="0.25">
      <c r="A13" t="s">
        <v>48</v>
      </c>
      <c r="B13" t="s">
        <v>49</v>
      </c>
      <c r="C13" t="s">
        <v>82</v>
      </c>
      <c r="D13">
        <v>21</v>
      </c>
      <c r="E13">
        <v>2</v>
      </c>
      <c r="F13">
        <f t="shared" si="0"/>
        <v>23</v>
      </c>
      <c r="G13" t="s">
        <v>112</v>
      </c>
    </row>
    <row r="14" spans="1:13" x14ac:dyDescent="0.25">
      <c r="A14" t="s">
        <v>54</v>
      </c>
      <c r="B14" t="s">
        <v>55</v>
      </c>
      <c r="C14" t="s">
        <v>83</v>
      </c>
      <c r="D14">
        <v>23</v>
      </c>
      <c r="E14">
        <v>0</v>
      </c>
      <c r="F14">
        <f t="shared" si="0"/>
        <v>23</v>
      </c>
      <c r="G14" t="s">
        <v>112</v>
      </c>
    </row>
    <row r="15" spans="1:13" x14ac:dyDescent="0.25">
      <c r="A15" t="s">
        <v>63</v>
      </c>
      <c r="B15" t="s">
        <v>64</v>
      </c>
      <c r="C15" t="s">
        <v>82</v>
      </c>
      <c r="D15">
        <v>23</v>
      </c>
      <c r="E15">
        <v>0</v>
      </c>
      <c r="F15">
        <f t="shared" si="0"/>
        <v>23</v>
      </c>
      <c r="G15" t="s">
        <v>112</v>
      </c>
      <c r="H15">
        <v>4</v>
      </c>
      <c r="I15">
        <v>4</v>
      </c>
      <c r="J15">
        <f>D15+H15</f>
        <v>27</v>
      </c>
      <c r="K15">
        <f>E15+I15</f>
        <v>4</v>
      </c>
      <c r="L15">
        <f>J15+K15</f>
        <v>31</v>
      </c>
      <c r="M15" t="s">
        <v>120</v>
      </c>
    </row>
    <row r="16" spans="1:13" x14ac:dyDescent="0.25">
      <c r="A16" t="s">
        <v>27</v>
      </c>
      <c r="B16" t="s">
        <v>28</v>
      </c>
      <c r="C16" t="s">
        <v>82</v>
      </c>
      <c r="D16">
        <v>21</v>
      </c>
      <c r="E16">
        <v>3</v>
      </c>
      <c r="F16">
        <f t="shared" si="0"/>
        <v>24</v>
      </c>
      <c r="G16" t="s">
        <v>112</v>
      </c>
    </row>
    <row r="17" spans="1:13" x14ac:dyDescent="0.25">
      <c r="A17" t="s">
        <v>15</v>
      </c>
      <c r="B17" t="s">
        <v>16</v>
      </c>
      <c r="C17" t="s">
        <v>83</v>
      </c>
      <c r="D17">
        <v>21</v>
      </c>
      <c r="E17">
        <v>3</v>
      </c>
      <c r="F17">
        <f t="shared" si="0"/>
        <v>24</v>
      </c>
      <c r="G17" t="s">
        <v>112</v>
      </c>
    </row>
    <row r="18" spans="1:13" x14ac:dyDescent="0.25">
      <c r="A18" t="s">
        <v>30</v>
      </c>
      <c r="B18" t="s">
        <v>31</v>
      </c>
      <c r="C18" t="s">
        <v>83</v>
      </c>
      <c r="D18">
        <v>21</v>
      </c>
      <c r="E18">
        <v>4</v>
      </c>
      <c r="F18">
        <f t="shared" si="0"/>
        <v>25</v>
      </c>
      <c r="G18" t="s">
        <v>112</v>
      </c>
    </row>
    <row r="19" spans="1:13" x14ac:dyDescent="0.25">
      <c r="A19" t="s">
        <v>24</v>
      </c>
      <c r="B19" t="s">
        <v>25</v>
      </c>
      <c r="C19" t="s">
        <v>83</v>
      </c>
      <c r="D19">
        <v>22</v>
      </c>
      <c r="E19">
        <v>3</v>
      </c>
      <c r="F19">
        <f t="shared" si="0"/>
        <v>25</v>
      </c>
      <c r="G19" t="s">
        <v>112</v>
      </c>
      <c r="H19">
        <v>5</v>
      </c>
      <c r="I19">
        <v>1</v>
      </c>
      <c r="J19">
        <f t="shared" ref="J19:K21" si="1">D19+H19</f>
        <v>27</v>
      </c>
      <c r="K19">
        <f t="shared" si="1"/>
        <v>4</v>
      </c>
      <c r="L19">
        <f>J19+K19</f>
        <v>31</v>
      </c>
      <c r="M19" t="s">
        <v>120</v>
      </c>
    </row>
    <row r="20" spans="1:13" x14ac:dyDescent="0.25">
      <c r="A20" t="s">
        <v>33</v>
      </c>
      <c r="B20" t="s">
        <v>34</v>
      </c>
      <c r="C20" t="s">
        <v>83</v>
      </c>
      <c r="D20">
        <v>21</v>
      </c>
      <c r="E20">
        <v>4</v>
      </c>
      <c r="F20">
        <f t="shared" si="0"/>
        <v>25</v>
      </c>
      <c r="G20" t="s">
        <v>112</v>
      </c>
      <c r="H20">
        <v>6</v>
      </c>
      <c r="I20">
        <v>0</v>
      </c>
      <c r="J20">
        <f t="shared" si="1"/>
        <v>27</v>
      </c>
      <c r="K20">
        <f t="shared" si="1"/>
        <v>4</v>
      </c>
      <c r="L20">
        <f>J20+K20</f>
        <v>31</v>
      </c>
      <c r="M20" t="s">
        <v>120</v>
      </c>
    </row>
    <row r="21" spans="1:13" x14ac:dyDescent="0.25">
      <c r="A21" t="s">
        <v>66</v>
      </c>
      <c r="B21" t="s">
        <v>67</v>
      </c>
      <c r="C21" t="s">
        <v>83</v>
      </c>
      <c r="D21">
        <v>21</v>
      </c>
      <c r="E21">
        <v>4</v>
      </c>
      <c r="F21">
        <f t="shared" si="0"/>
        <v>25</v>
      </c>
      <c r="G21" t="s">
        <v>112</v>
      </c>
      <c r="H21">
        <v>5</v>
      </c>
      <c r="I21">
        <v>0</v>
      </c>
      <c r="J21">
        <f t="shared" si="1"/>
        <v>26</v>
      </c>
      <c r="K21">
        <f t="shared" si="1"/>
        <v>4</v>
      </c>
      <c r="L21">
        <f>J21+K21</f>
        <v>30</v>
      </c>
      <c r="M21" t="s">
        <v>112</v>
      </c>
    </row>
    <row r="22" spans="1:13" x14ac:dyDescent="0.25">
      <c r="A22" t="s">
        <v>42</v>
      </c>
      <c r="B22" t="s">
        <v>43</v>
      </c>
      <c r="C22" t="s">
        <v>82</v>
      </c>
      <c r="D22">
        <v>22</v>
      </c>
      <c r="E22">
        <v>3</v>
      </c>
      <c r="F22">
        <f t="shared" si="0"/>
        <v>25</v>
      </c>
      <c r="G22" t="s">
        <v>112</v>
      </c>
    </row>
    <row r="23" spans="1:13" x14ac:dyDescent="0.25">
      <c r="A23" t="s">
        <v>12</v>
      </c>
      <c r="B23" t="s">
        <v>13</v>
      </c>
      <c r="C23" t="s">
        <v>83</v>
      </c>
      <c r="D23">
        <v>24</v>
      </c>
      <c r="E23">
        <v>2</v>
      </c>
      <c r="F23">
        <f t="shared" si="0"/>
        <v>26</v>
      </c>
      <c r="G23" t="s">
        <v>112</v>
      </c>
      <c r="H23">
        <v>3</v>
      </c>
      <c r="I23">
        <v>1</v>
      </c>
      <c r="J23">
        <f>D23+H23</f>
        <v>27</v>
      </c>
      <c r="K23">
        <f>E23+I23</f>
        <v>3</v>
      </c>
      <c r="L23">
        <f>J23+K23</f>
        <v>30</v>
      </c>
      <c r="M23" t="s">
        <v>112</v>
      </c>
    </row>
    <row r="24" spans="1:13" x14ac:dyDescent="0.25">
      <c r="A24" t="s">
        <v>6</v>
      </c>
      <c r="B24" t="s">
        <v>7</v>
      </c>
      <c r="C24" t="s">
        <v>83</v>
      </c>
      <c r="D24">
        <v>24</v>
      </c>
      <c r="E24">
        <v>3</v>
      </c>
      <c r="F24">
        <f t="shared" si="0"/>
        <v>27</v>
      </c>
      <c r="G24" t="s">
        <v>112</v>
      </c>
    </row>
    <row r="25" spans="1:13" x14ac:dyDescent="0.25">
      <c r="A25" t="s">
        <v>0</v>
      </c>
      <c r="B25" t="s">
        <v>1</v>
      </c>
      <c r="C25" t="s">
        <v>82</v>
      </c>
      <c r="D25">
        <v>26</v>
      </c>
      <c r="E25">
        <v>4</v>
      </c>
      <c r="F25">
        <f t="shared" si="0"/>
        <v>30</v>
      </c>
      <c r="G25" t="s">
        <v>112</v>
      </c>
      <c r="H25">
        <v>1</v>
      </c>
      <c r="I25">
        <v>0</v>
      </c>
      <c r="J25">
        <f>D25+H25</f>
        <v>27</v>
      </c>
      <c r="K25">
        <f>E25+I25</f>
        <v>4</v>
      </c>
      <c r="L25">
        <f>J25+K25</f>
        <v>31</v>
      </c>
      <c r="M25" t="s">
        <v>120</v>
      </c>
    </row>
    <row r="26" spans="1:13" x14ac:dyDescent="0.25">
      <c r="A26" t="s">
        <v>60</v>
      </c>
      <c r="B26" t="s">
        <v>61</v>
      </c>
      <c r="C26" t="s">
        <v>82</v>
      </c>
      <c r="G26" t="s">
        <v>111</v>
      </c>
    </row>
    <row r="27" spans="1:13" x14ac:dyDescent="0.25">
      <c r="A27" t="s">
        <v>9</v>
      </c>
      <c r="B27" t="s">
        <v>10</v>
      </c>
      <c r="C27" t="s">
        <v>82</v>
      </c>
      <c r="G27" t="s">
        <v>111</v>
      </c>
    </row>
    <row r="28" spans="1:13" x14ac:dyDescent="0.25">
      <c r="A28" t="s">
        <v>18</v>
      </c>
      <c r="B28" t="s">
        <v>19</v>
      </c>
      <c r="C28" t="s">
        <v>82</v>
      </c>
      <c r="G28" t="s">
        <v>111</v>
      </c>
    </row>
  </sheetData>
  <autoFilter ref="A1:M28" xr:uid="{6E447A22-DA99-47B8-8CB6-040604B5EBD1}">
    <sortState xmlns:xlrd2="http://schemas.microsoft.com/office/spreadsheetml/2017/richdata2" ref="A2:M28">
      <sortCondition ref="F1:F2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FF5E-B698-4422-A559-B2BAA221BD3E}">
  <dimension ref="A1:M28"/>
  <sheetViews>
    <sheetView workbookViewId="0">
      <selection activeCell="E34" sqref="E34"/>
    </sheetView>
  </sheetViews>
  <sheetFormatPr defaultRowHeight="15.75" x14ac:dyDescent="0.25"/>
  <sheetData>
    <row r="1" spans="1:13" x14ac:dyDescent="0.25">
      <c r="A1" t="s">
        <v>81</v>
      </c>
      <c r="B1" t="s">
        <v>80</v>
      </c>
      <c r="C1" t="s">
        <v>78</v>
      </c>
      <c r="D1" t="s">
        <v>107</v>
      </c>
      <c r="E1" t="s">
        <v>108</v>
      </c>
      <c r="F1" t="s">
        <v>109</v>
      </c>
      <c r="G1" t="s">
        <v>110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</row>
    <row r="2" spans="1:13" x14ac:dyDescent="0.25">
      <c r="A2" t="s">
        <v>3</v>
      </c>
      <c r="B2" t="s">
        <v>4</v>
      </c>
      <c r="C2" t="s">
        <v>83</v>
      </c>
      <c r="D2">
        <v>26</v>
      </c>
      <c r="E2">
        <v>3</v>
      </c>
      <c r="F2">
        <f t="shared" ref="F2:F18" si="0">D2+E2</f>
        <v>29</v>
      </c>
      <c r="G2" t="s">
        <v>82</v>
      </c>
      <c r="H2">
        <v>4</v>
      </c>
      <c r="I2">
        <v>1</v>
      </c>
      <c r="J2">
        <f>H2+D2</f>
        <v>30</v>
      </c>
      <c r="K2">
        <f>I2+E2</f>
        <v>4</v>
      </c>
      <c r="L2">
        <f>J2+K2</f>
        <v>34</v>
      </c>
      <c r="M2" t="s">
        <v>112</v>
      </c>
    </row>
    <row r="3" spans="1:13" x14ac:dyDescent="0.25">
      <c r="A3" t="s">
        <v>30</v>
      </c>
      <c r="B3" t="s">
        <v>31</v>
      </c>
      <c r="C3" t="s">
        <v>83</v>
      </c>
      <c r="D3">
        <v>27</v>
      </c>
      <c r="E3">
        <v>4</v>
      </c>
      <c r="F3">
        <f t="shared" si="0"/>
        <v>31</v>
      </c>
      <c r="G3" t="s">
        <v>82</v>
      </c>
    </row>
    <row r="4" spans="1:13" x14ac:dyDescent="0.25">
      <c r="A4" t="s">
        <v>0</v>
      </c>
      <c r="B4" t="s">
        <v>1</v>
      </c>
      <c r="C4" t="s">
        <v>82</v>
      </c>
      <c r="D4">
        <v>16</v>
      </c>
      <c r="E4">
        <v>0</v>
      </c>
      <c r="F4">
        <f t="shared" si="0"/>
        <v>16</v>
      </c>
      <c r="G4" t="s">
        <v>121</v>
      </c>
    </row>
    <row r="5" spans="1:13" x14ac:dyDescent="0.25">
      <c r="A5" t="s">
        <v>27</v>
      </c>
      <c r="B5" t="s">
        <v>28</v>
      </c>
      <c r="C5" t="s">
        <v>82</v>
      </c>
      <c r="D5">
        <v>28</v>
      </c>
      <c r="E5">
        <v>2</v>
      </c>
      <c r="F5">
        <f t="shared" si="0"/>
        <v>30</v>
      </c>
      <c r="G5" t="s">
        <v>82</v>
      </c>
    </row>
    <row r="6" spans="1:13" x14ac:dyDescent="0.25">
      <c r="A6" t="s">
        <v>24</v>
      </c>
      <c r="B6" t="s">
        <v>25</v>
      </c>
      <c r="C6" t="s">
        <v>83</v>
      </c>
      <c r="D6">
        <v>32</v>
      </c>
      <c r="E6">
        <v>2</v>
      </c>
      <c r="F6">
        <f t="shared" si="0"/>
        <v>34</v>
      </c>
      <c r="G6" t="s">
        <v>112</v>
      </c>
      <c r="H6">
        <v>2</v>
      </c>
      <c r="I6">
        <v>2</v>
      </c>
      <c r="J6">
        <f>H6+D6</f>
        <v>34</v>
      </c>
      <c r="K6">
        <f>I6+E6</f>
        <v>4</v>
      </c>
      <c r="L6">
        <f>J6+K6</f>
        <v>38</v>
      </c>
      <c r="M6" t="s">
        <v>120</v>
      </c>
    </row>
    <row r="7" spans="1:13" x14ac:dyDescent="0.25">
      <c r="A7" t="s">
        <v>33</v>
      </c>
      <c r="B7" t="s">
        <v>34</v>
      </c>
      <c r="C7" t="s">
        <v>83</v>
      </c>
      <c r="D7">
        <v>34</v>
      </c>
      <c r="E7">
        <v>4</v>
      </c>
      <c r="F7">
        <f t="shared" si="0"/>
        <v>38</v>
      </c>
      <c r="G7" t="s">
        <v>120</v>
      </c>
    </row>
    <row r="8" spans="1:13" x14ac:dyDescent="0.25">
      <c r="A8" t="s">
        <v>21</v>
      </c>
      <c r="B8" t="s">
        <v>22</v>
      </c>
      <c r="C8" t="s">
        <v>83</v>
      </c>
      <c r="D8">
        <v>12</v>
      </c>
      <c r="E8">
        <v>0</v>
      </c>
      <c r="F8">
        <f t="shared" si="0"/>
        <v>12</v>
      </c>
      <c r="G8" t="s">
        <v>121</v>
      </c>
      <c r="H8">
        <v>14</v>
      </c>
      <c r="I8">
        <v>0</v>
      </c>
      <c r="J8">
        <f>H8+D8</f>
        <v>26</v>
      </c>
      <c r="K8">
        <f>I8+E8</f>
        <v>0</v>
      </c>
      <c r="L8">
        <f>J8+K8</f>
        <v>26</v>
      </c>
      <c r="M8" t="s">
        <v>82</v>
      </c>
    </row>
    <row r="9" spans="1:13" x14ac:dyDescent="0.25">
      <c r="A9" t="s">
        <v>60</v>
      </c>
      <c r="B9" t="s">
        <v>61</v>
      </c>
      <c r="C9" t="s">
        <v>82</v>
      </c>
      <c r="F9">
        <f t="shared" si="0"/>
        <v>0</v>
      </c>
      <c r="G9" t="s">
        <v>111</v>
      </c>
    </row>
    <row r="10" spans="1:13" x14ac:dyDescent="0.25">
      <c r="A10" t="s">
        <v>72</v>
      </c>
      <c r="B10" t="s">
        <v>73</v>
      </c>
      <c r="C10" t="s">
        <v>83</v>
      </c>
      <c r="D10">
        <v>23</v>
      </c>
      <c r="E10">
        <v>0</v>
      </c>
      <c r="F10">
        <f t="shared" si="0"/>
        <v>23</v>
      </c>
      <c r="G10" t="s">
        <v>82</v>
      </c>
      <c r="H10">
        <v>10</v>
      </c>
      <c r="I10">
        <v>0</v>
      </c>
      <c r="J10">
        <f>H10+D10</f>
        <v>33</v>
      </c>
      <c r="K10">
        <f>I10+E10</f>
        <v>0</v>
      </c>
      <c r="L10">
        <f>J10+K10</f>
        <v>33</v>
      </c>
      <c r="M10" t="s">
        <v>112</v>
      </c>
    </row>
    <row r="11" spans="1:13" x14ac:dyDescent="0.25">
      <c r="A11" t="s">
        <v>6</v>
      </c>
      <c r="B11" t="s">
        <v>7</v>
      </c>
      <c r="C11" t="s">
        <v>83</v>
      </c>
      <c r="D11">
        <v>27</v>
      </c>
      <c r="E11">
        <v>4</v>
      </c>
      <c r="F11">
        <f t="shared" si="0"/>
        <v>31</v>
      </c>
      <c r="G11" t="s">
        <v>82</v>
      </c>
    </row>
    <row r="12" spans="1:13" x14ac:dyDescent="0.25">
      <c r="A12" t="s">
        <v>66</v>
      </c>
      <c r="B12" t="s">
        <v>67</v>
      </c>
      <c r="C12" t="s">
        <v>83</v>
      </c>
      <c r="D12">
        <v>34</v>
      </c>
      <c r="E12">
        <v>4</v>
      </c>
      <c r="F12">
        <f t="shared" si="0"/>
        <v>38</v>
      </c>
      <c r="G12" t="s">
        <v>120</v>
      </c>
    </row>
    <row r="13" spans="1:13" x14ac:dyDescent="0.25">
      <c r="A13" t="s">
        <v>69</v>
      </c>
      <c r="B13" t="s">
        <v>70</v>
      </c>
      <c r="C13" t="s">
        <v>83</v>
      </c>
      <c r="D13">
        <v>27</v>
      </c>
      <c r="E13">
        <v>4</v>
      </c>
      <c r="F13">
        <f t="shared" si="0"/>
        <v>31</v>
      </c>
      <c r="G13" t="s">
        <v>82</v>
      </c>
      <c r="H13">
        <v>7</v>
      </c>
      <c r="I13">
        <v>0</v>
      </c>
      <c r="J13">
        <f>H13+D13</f>
        <v>34</v>
      </c>
      <c r="K13">
        <f>I13+E13</f>
        <v>4</v>
      </c>
      <c r="L13">
        <f>J13+K13</f>
        <v>38</v>
      </c>
      <c r="M13" t="s">
        <v>120</v>
      </c>
    </row>
    <row r="14" spans="1:13" x14ac:dyDescent="0.25">
      <c r="A14" t="s">
        <v>36</v>
      </c>
      <c r="B14" t="s">
        <v>37</v>
      </c>
      <c r="C14" t="s">
        <v>83</v>
      </c>
      <c r="D14">
        <v>18</v>
      </c>
      <c r="E14">
        <v>0</v>
      </c>
      <c r="F14">
        <f t="shared" si="0"/>
        <v>18</v>
      </c>
      <c r="G14" t="s">
        <v>121</v>
      </c>
      <c r="H14">
        <v>14</v>
      </c>
      <c r="I14">
        <v>3</v>
      </c>
      <c r="J14">
        <f>H14+D14</f>
        <v>32</v>
      </c>
      <c r="K14">
        <f>I14+E14</f>
        <v>3</v>
      </c>
      <c r="L14">
        <f>J14+K14</f>
        <v>35</v>
      </c>
      <c r="M14" t="s">
        <v>112</v>
      </c>
    </row>
    <row r="15" spans="1:13" x14ac:dyDescent="0.25">
      <c r="A15" t="s">
        <v>48</v>
      </c>
      <c r="B15" t="s">
        <v>49</v>
      </c>
      <c r="C15" t="s">
        <v>82</v>
      </c>
      <c r="D15">
        <v>30</v>
      </c>
      <c r="E15">
        <v>4</v>
      </c>
      <c r="F15">
        <f t="shared" si="0"/>
        <v>34</v>
      </c>
      <c r="G15" t="s">
        <v>112</v>
      </c>
    </row>
    <row r="16" spans="1:13" x14ac:dyDescent="0.25">
      <c r="A16" t="s">
        <v>42</v>
      </c>
      <c r="B16" t="s">
        <v>43</v>
      </c>
      <c r="C16" t="s">
        <v>82</v>
      </c>
      <c r="D16">
        <v>30</v>
      </c>
      <c r="E16">
        <v>4</v>
      </c>
      <c r="F16">
        <f t="shared" si="0"/>
        <v>34</v>
      </c>
      <c r="G16" t="s">
        <v>112</v>
      </c>
    </row>
    <row r="17" spans="1:13" x14ac:dyDescent="0.25">
      <c r="A17" t="s">
        <v>75</v>
      </c>
      <c r="B17" t="s">
        <v>76</v>
      </c>
      <c r="C17" t="s">
        <v>82</v>
      </c>
      <c r="D17">
        <v>12</v>
      </c>
      <c r="E17">
        <v>1</v>
      </c>
      <c r="F17">
        <f t="shared" si="0"/>
        <v>13</v>
      </c>
      <c r="G17" t="s">
        <v>121</v>
      </c>
    </row>
    <row r="18" spans="1:13" x14ac:dyDescent="0.25">
      <c r="A18" t="s">
        <v>54</v>
      </c>
      <c r="B18" t="s">
        <v>55</v>
      </c>
      <c r="C18" t="s">
        <v>83</v>
      </c>
      <c r="D18">
        <v>23</v>
      </c>
      <c r="E18">
        <v>0</v>
      </c>
      <c r="F18">
        <f t="shared" si="0"/>
        <v>23</v>
      </c>
      <c r="G18" t="s">
        <v>82</v>
      </c>
    </row>
    <row r="19" spans="1:13" x14ac:dyDescent="0.25">
      <c r="A19" t="s">
        <v>51</v>
      </c>
      <c r="B19" t="s">
        <v>52</v>
      </c>
      <c r="C19" t="s">
        <v>82</v>
      </c>
      <c r="G19" t="s">
        <v>111</v>
      </c>
    </row>
    <row r="20" spans="1:13" x14ac:dyDescent="0.25">
      <c r="A20" t="s">
        <v>45</v>
      </c>
      <c r="B20" t="s">
        <v>46</v>
      </c>
      <c r="C20" t="s">
        <v>83</v>
      </c>
      <c r="D20">
        <v>17</v>
      </c>
      <c r="E20">
        <v>3</v>
      </c>
      <c r="F20">
        <f>D20+E20</f>
        <v>20</v>
      </c>
      <c r="G20" t="s">
        <v>121</v>
      </c>
      <c r="H20">
        <v>16</v>
      </c>
      <c r="I20">
        <v>1</v>
      </c>
      <c r="J20">
        <f t="shared" ref="J20:K23" si="1">H20+D20</f>
        <v>33</v>
      </c>
      <c r="K20">
        <f t="shared" si="1"/>
        <v>4</v>
      </c>
      <c r="L20">
        <f>J20+K20</f>
        <v>37</v>
      </c>
      <c r="M20" t="s">
        <v>112</v>
      </c>
    </row>
    <row r="21" spans="1:13" x14ac:dyDescent="0.25">
      <c r="A21" t="s">
        <v>9</v>
      </c>
      <c r="B21" t="s">
        <v>10</v>
      </c>
      <c r="C21" t="s">
        <v>82</v>
      </c>
      <c r="D21">
        <v>31</v>
      </c>
      <c r="E21">
        <v>2</v>
      </c>
      <c r="F21">
        <f>D21+E21</f>
        <v>33</v>
      </c>
      <c r="G21" t="s">
        <v>112</v>
      </c>
      <c r="H21">
        <v>1</v>
      </c>
      <c r="I21">
        <v>2</v>
      </c>
      <c r="J21">
        <f t="shared" si="1"/>
        <v>32</v>
      </c>
      <c r="K21">
        <f t="shared" si="1"/>
        <v>4</v>
      </c>
      <c r="L21">
        <f>J21+K21</f>
        <v>36</v>
      </c>
      <c r="M21" t="s">
        <v>112</v>
      </c>
    </row>
    <row r="22" spans="1:13" x14ac:dyDescent="0.25">
      <c r="A22" t="s">
        <v>63</v>
      </c>
      <c r="B22" t="s">
        <v>64</v>
      </c>
      <c r="C22" t="s">
        <v>82</v>
      </c>
      <c r="D22">
        <v>33</v>
      </c>
      <c r="E22">
        <v>4</v>
      </c>
      <c r="F22">
        <f>D22+E22</f>
        <v>37</v>
      </c>
      <c r="G22" t="s">
        <v>112</v>
      </c>
      <c r="H22">
        <v>1</v>
      </c>
      <c r="I22">
        <v>0</v>
      </c>
      <c r="J22">
        <f t="shared" si="1"/>
        <v>34</v>
      </c>
      <c r="K22">
        <f t="shared" si="1"/>
        <v>4</v>
      </c>
      <c r="L22">
        <f>J22+K22</f>
        <v>38</v>
      </c>
      <c r="M22" t="s">
        <v>120</v>
      </c>
    </row>
    <row r="23" spans="1:13" x14ac:dyDescent="0.25">
      <c r="A23" t="s">
        <v>57</v>
      </c>
      <c r="B23" t="s">
        <v>58</v>
      </c>
      <c r="C23" t="s">
        <v>82</v>
      </c>
      <c r="D23">
        <v>22</v>
      </c>
      <c r="E23">
        <v>4</v>
      </c>
      <c r="F23">
        <f>D23+E23</f>
        <v>26</v>
      </c>
      <c r="G23" t="s">
        <v>82</v>
      </c>
      <c r="H23">
        <v>7</v>
      </c>
      <c r="I23">
        <v>0</v>
      </c>
      <c r="J23">
        <f t="shared" si="1"/>
        <v>29</v>
      </c>
      <c r="K23">
        <f t="shared" si="1"/>
        <v>4</v>
      </c>
      <c r="L23">
        <f>J23+K23</f>
        <v>33</v>
      </c>
      <c r="M23" t="s">
        <v>112</v>
      </c>
    </row>
    <row r="24" spans="1:13" x14ac:dyDescent="0.25">
      <c r="A24" t="s">
        <v>18</v>
      </c>
      <c r="B24" t="s">
        <v>19</v>
      </c>
      <c r="C24" t="s">
        <v>82</v>
      </c>
      <c r="G24" t="s">
        <v>111</v>
      </c>
    </row>
    <row r="25" spans="1:13" x14ac:dyDescent="0.25">
      <c r="A25" t="s">
        <v>12</v>
      </c>
      <c r="B25" t="s">
        <v>13</v>
      </c>
      <c r="C25" t="s">
        <v>83</v>
      </c>
      <c r="D25">
        <v>31</v>
      </c>
      <c r="E25">
        <v>3</v>
      </c>
      <c r="F25">
        <f>D25+E25</f>
        <v>34</v>
      </c>
      <c r="G25" t="s">
        <v>112</v>
      </c>
      <c r="H25">
        <v>3</v>
      </c>
      <c r="I25">
        <v>1</v>
      </c>
      <c r="J25">
        <f t="shared" ref="J25:K27" si="2">H25+D25</f>
        <v>34</v>
      </c>
      <c r="K25">
        <f t="shared" si="2"/>
        <v>4</v>
      </c>
      <c r="L25">
        <f>J25+K25</f>
        <v>38</v>
      </c>
      <c r="M25" t="s">
        <v>120</v>
      </c>
    </row>
    <row r="26" spans="1:13" x14ac:dyDescent="0.25">
      <c r="A26" t="s">
        <v>97</v>
      </c>
      <c r="B26" t="s">
        <v>98</v>
      </c>
      <c r="C26" t="s">
        <v>83</v>
      </c>
      <c r="D26">
        <v>19</v>
      </c>
      <c r="E26">
        <v>2</v>
      </c>
      <c r="F26">
        <f>D26+E26</f>
        <v>21</v>
      </c>
      <c r="G26" t="s">
        <v>121</v>
      </c>
      <c r="H26">
        <v>14</v>
      </c>
      <c r="I26">
        <v>2</v>
      </c>
      <c r="J26">
        <f t="shared" si="2"/>
        <v>33</v>
      </c>
      <c r="K26">
        <f t="shared" si="2"/>
        <v>4</v>
      </c>
      <c r="L26">
        <f>J26+K26</f>
        <v>37</v>
      </c>
      <c r="M26" t="s">
        <v>112</v>
      </c>
    </row>
    <row r="27" spans="1:13" x14ac:dyDescent="0.25">
      <c r="A27" t="s">
        <v>39</v>
      </c>
      <c r="B27" t="s">
        <v>40</v>
      </c>
      <c r="C27" t="s">
        <v>83</v>
      </c>
      <c r="D27">
        <v>26</v>
      </c>
      <c r="E27">
        <v>3</v>
      </c>
      <c r="F27">
        <f>D27+E27</f>
        <v>29</v>
      </c>
      <c r="G27" t="s">
        <v>82</v>
      </c>
      <c r="H27">
        <v>8</v>
      </c>
      <c r="I27">
        <v>0</v>
      </c>
      <c r="J27">
        <f t="shared" si="2"/>
        <v>34</v>
      </c>
      <c r="K27">
        <f t="shared" si="2"/>
        <v>3</v>
      </c>
      <c r="L27">
        <f>J27+K27</f>
        <v>37</v>
      </c>
      <c r="M27" t="s">
        <v>112</v>
      </c>
    </row>
    <row r="28" spans="1:13" x14ac:dyDescent="0.25">
      <c r="A28" t="s">
        <v>15</v>
      </c>
      <c r="B28" t="s">
        <v>16</v>
      </c>
      <c r="C28" t="s">
        <v>83</v>
      </c>
      <c r="D28">
        <v>21</v>
      </c>
      <c r="E28">
        <v>1</v>
      </c>
      <c r="F28">
        <f>D28+E28</f>
        <v>22</v>
      </c>
      <c r="G28" t="s">
        <v>82</v>
      </c>
    </row>
  </sheetData>
  <autoFilter ref="A1:M28" xr:uid="{34F3FF5E-B698-4422-A559-B2BAA221BD3E}">
    <sortState xmlns:xlrd2="http://schemas.microsoft.com/office/spreadsheetml/2017/richdata2" ref="A2:M28">
      <sortCondition ref="A1:A2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1293-FC08-4F3A-B10E-0388D428E4A6}">
  <dimension ref="A1:M28"/>
  <sheetViews>
    <sheetView workbookViewId="0">
      <selection sqref="A1:G28"/>
    </sheetView>
  </sheetViews>
  <sheetFormatPr defaultRowHeight="15.75" x14ac:dyDescent="0.25"/>
  <sheetData>
    <row r="1" spans="1:13" x14ac:dyDescent="0.25">
      <c r="A1" t="s">
        <v>81</v>
      </c>
      <c r="B1" t="s">
        <v>80</v>
      </c>
      <c r="C1" t="s">
        <v>78</v>
      </c>
      <c r="D1" t="s">
        <v>107</v>
      </c>
      <c r="E1" t="s">
        <v>108</v>
      </c>
      <c r="F1" t="s">
        <v>109</v>
      </c>
      <c r="G1" t="s">
        <v>110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</row>
    <row r="2" spans="1:13" x14ac:dyDescent="0.25">
      <c r="A2" t="s">
        <v>3</v>
      </c>
      <c r="B2" t="s">
        <v>4</v>
      </c>
      <c r="C2" t="s">
        <v>83</v>
      </c>
      <c r="D2">
        <v>14</v>
      </c>
      <c r="E2">
        <v>3</v>
      </c>
      <c r="F2">
        <f>D2+E2</f>
        <v>17</v>
      </c>
      <c r="G2" t="s">
        <v>112</v>
      </c>
      <c r="H2">
        <v>3</v>
      </c>
      <c r="I2">
        <v>2</v>
      </c>
      <c r="J2">
        <f>D2+H2</f>
        <v>17</v>
      </c>
      <c r="K2">
        <f>E2+I2</f>
        <v>5</v>
      </c>
      <c r="L2">
        <f>J2+K2</f>
        <v>22</v>
      </c>
      <c r="M2" t="s">
        <v>120</v>
      </c>
    </row>
    <row r="3" spans="1:13" x14ac:dyDescent="0.25">
      <c r="A3" t="s">
        <v>30</v>
      </c>
      <c r="B3" t="s">
        <v>31</v>
      </c>
      <c r="C3" t="s">
        <v>83</v>
      </c>
      <c r="D3">
        <v>16</v>
      </c>
      <c r="E3">
        <v>5</v>
      </c>
      <c r="F3">
        <f>D3+E3</f>
        <v>21</v>
      </c>
      <c r="G3" t="s">
        <v>112</v>
      </c>
    </row>
    <row r="4" spans="1:13" x14ac:dyDescent="0.25">
      <c r="A4" t="s">
        <v>0</v>
      </c>
      <c r="B4" t="s">
        <v>1</v>
      </c>
      <c r="C4" t="s">
        <v>82</v>
      </c>
      <c r="D4">
        <v>13</v>
      </c>
      <c r="E4">
        <v>5</v>
      </c>
      <c r="F4">
        <f>D4+E4</f>
        <v>18</v>
      </c>
      <c r="G4" t="s">
        <v>112</v>
      </c>
      <c r="H4">
        <v>4</v>
      </c>
      <c r="I4">
        <v>0</v>
      </c>
      <c r="J4">
        <f t="shared" ref="J4:J27" si="0">D4+H4</f>
        <v>17</v>
      </c>
      <c r="K4">
        <f t="shared" ref="K4:K27" si="1">E4+I4</f>
        <v>5</v>
      </c>
      <c r="L4">
        <f t="shared" ref="L4:L27" si="2">J4+K4</f>
        <v>22</v>
      </c>
      <c r="M4" t="s">
        <v>120</v>
      </c>
    </row>
    <row r="5" spans="1:13" x14ac:dyDescent="0.25">
      <c r="A5" t="s">
        <v>27</v>
      </c>
      <c r="B5" t="s">
        <v>28</v>
      </c>
      <c r="C5" t="s">
        <v>82</v>
      </c>
      <c r="D5">
        <v>17</v>
      </c>
      <c r="E5">
        <v>2</v>
      </c>
      <c r="F5">
        <f>D5+E5</f>
        <v>19</v>
      </c>
      <c r="G5" t="s">
        <v>112</v>
      </c>
    </row>
    <row r="6" spans="1:13" x14ac:dyDescent="0.25">
      <c r="A6" t="s">
        <v>24</v>
      </c>
      <c r="B6" t="s">
        <v>25</v>
      </c>
      <c r="C6" t="s">
        <v>83</v>
      </c>
      <c r="G6" t="s">
        <v>111</v>
      </c>
    </row>
    <row r="7" spans="1:13" x14ac:dyDescent="0.25">
      <c r="A7" t="s">
        <v>33</v>
      </c>
      <c r="B7" t="s">
        <v>34</v>
      </c>
      <c r="C7" t="s">
        <v>83</v>
      </c>
      <c r="D7">
        <v>17</v>
      </c>
      <c r="E7">
        <v>4</v>
      </c>
      <c r="F7">
        <f>D7+E7</f>
        <v>21</v>
      </c>
      <c r="G7" t="s">
        <v>112</v>
      </c>
    </row>
    <row r="8" spans="1:13" x14ac:dyDescent="0.25">
      <c r="A8" t="s">
        <v>21</v>
      </c>
      <c r="B8" t="s">
        <v>22</v>
      </c>
      <c r="C8" t="s">
        <v>83</v>
      </c>
      <c r="D8">
        <v>11</v>
      </c>
      <c r="E8">
        <v>1</v>
      </c>
      <c r="F8">
        <f>D8+E8</f>
        <v>12</v>
      </c>
      <c r="G8" t="s">
        <v>82</v>
      </c>
    </row>
    <row r="9" spans="1:13" x14ac:dyDescent="0.25">
      <c r="A9" t="s">
        <v>60</v>
      </c>
      <c r="B9" t="s">
        <v>61</v>
      </c>
      <c r="C9" t="s">
        <v>82</v>
      </c>
      <c r="G9" t="s">
        <v>111</v>
      </c>
    </row>
    <row r="10" spans="1:13" x14ac:dyDescent="0.25">
      <c r="A10" t="s">
        <v>72</v>
      </c>
      <c r="B10" t="s">
        <v>73</v>
      </c>
      <c r="C10" t="s">
        <v>83</v>
      </c>
      <c r="D10">
        <v>13</v>
      </c>
      <c r="E10">
        <v>4</v>
      </c>
      <c r="F10">
        <f t="shared" ref="F10:F23" si="3">D10+E10</f>
        <v>17</v>
      </c>
      <c r="G10" t="s">
        <v>112</v>
      </c>
    </row>
    <row r="11" spans="1:13" x14ac:dyDescent="0.25">
      <c r="A11" t="s">
        <v>6</v>
      </c>
      <c r="B11" t="s">
        <v>7</v>
      </c>
      <c r="C11" t="s">
        <v>83</v>
      </c>
      <c r="D11">
        <v>13</v>
      </c>
      <c r="E11">
        <v>3</v>
      </c>
      <c r="F11">
        <f t="shared" si="3"/>
        <v>16</v>
      </c>
      <c r="G11" t="s">
        <v>112</v>
      </c>
    </row>
    <row r="12" spans="1:13" x14ac:dyDescent="0.25">
      <c r="A12" t="s">
        <v>66</v>
      </c>
      <c r="B12" t="s">
        <v>67</v>
      </c>
      <c r="C12" t="s">
        <v>83</v>
      </c>
      <c r="D12">
        <v>17</v>
      </c>
      <c r="E12">
        <v>5</v>
      </c>
      <c r="F12">
        <f t="shared" si="3"/>
        <v>22</v>
      </c>
      <c r="G12" t="s">
        <v>120</v>
      </c>
    </row>
    <row r="13" spans="1:13" x14ac:dyDescent="0.25">
      <c r="A13" t="s">
        <v>69</v>
      </c>
      <c r="B13" t="s">
        <v>70</v>
      </c>
      <c r="C13" t="s">
        <v>83</v>
      </c>
      <c r="D13">
        <v>17</v>
      </c>
      <c r="E13">
        <v>5</v>
      </c>
      <c r="F13">
        <f t="shared" si="3"/>
        <v>22</v>
      </c>
      <c r="G13" t="s">
        <v>120</v>
      </c>
    </row>
    <row r="14" spans="1:13" x14ac:dyDescent="0.25">
      <c r="A14" t="s">
        <v>36</v>
      </c>
      <c r="B14" t="s">
        <v>37</v>
      </c>
      <c r="C14" t="s">
        <v>83</v>
      </c>
      <c r="D14">
        <v>12</v>
      </c>
      <c r="E14">
        <v>2</v>
      </c>
      <c r="F14">
        <f t="shared" si="3"/>
        <v>14</v>
      </c>
      <c r="G14" t="s">
        <v>82</v>
      </c>
    </row>
    <row r="15" spans="1:13" x14ac:dyDescent="0.25">
      <c r="A15" t="s">
        <v>48</v>
      </c>
      <c r="B15" t="s">
        <v>49</v>
      </c>
      <c r="C15" t="s">
        <v>82</v>
      </c>
      <c r="D15">
        <v>17</v>
      </c>
      <c r="E15">
        <v>1</v>
      </c>
      <c r="F15">
        <f t="shared" si="3"/>
        <v>18</v>
      </c>
      <c r="G15" t="s">
        <v>112</v>
      </c>
    </row>
    <row r="16" spans="1:13" x14ac:dyDescent="0.25">
      <c r="A16" t="s">
        <v>42</v>
      </c>
      <c r="B16" t="s">
        <v>43</v>
      </c>
      <c r="C16" t="s">
        <v>82</v>
      </c>
      <c r="D16">
        <v>17</v>
      </c>
      <c r="E16">
        <v>4</v>
      </c>
      <c r="F16">
        <f t="shared" si="3"/>
        <v>21</v>
      </c>
      <c r="G16" t="s">
        <v>112</v>
      </c>
    </row>
    <row r="17" spans="1:13" x14ac:dyDescent="0.25">
      <c r="A17" t="s">
        <v>75</v>
      </c>
      <c r="B17" t="s">
        <v>76</v>
      </c>
      <c r="C17" t="s">
        <v>82</v>
      </c>
      <c r="D17">
        <v>12</v>
      </c>
      <c r="E17">
        <v>0</v>
      </c>
      <c r="F17">
        <f t="shared" si="3"/>
        <v>12</v>
      </c>
      <c r="G17" t="s">
        <v>82</v>
      </c>
    </row>
    <row r="18" spans="1:13" x14ac:dyDescent="0.25">
      <c r="A18" t="s">
        <v>54</v>
      </c>
      <c r="B18" t="s">
        <v>55</v>
      </c>
      <c r="C18" t="s">
        <v>83</v>
      </c>
      <c r="D18">
        <v>14</v>
      </c>
      <c r="E18">
        <v>0</v>
      </c>
      <c r="F18">
        <f t="shared" si="3"/>
        <v>14</v>
      </c>
      <c r="G18" t="s">
        <v>112</v>
      </c>
    </row>
    <row r="19" spans="1:13" x14ac:dyDescent="0.25">
      <c r="A19" t="s">
        <v>51</v>
      </c>
      <c r="B19" t="s">
        <v>52</v>
      </c>
      <c r="C19" t="s">
        <v>82</v>
      </c>
      <c r="D19">
        <v>17</v>
      </c>
      <c r="E19">
        <v>0</v>
      </c>
      <c r="F19">
        <f t="shared" si="3"/>
        <v>17</v>
      </c>
      <c r="G19" t="s">
        <v>112</v>
      </c>
    </row>
    <row r="20" spans="1:13" x14ac:dyDescent="0.25">
      <c r="A20" t="s">
        <v>45</v>
      </c>
      <c r="B20" t="s">
        <v>46</v>
      </c>
      <c r="C20" t="s">
        <v>83</v>
      </c>
      <c r="D20">
        <v>16</v>
      </c>
      <c r="E20">
        <v>3</v>
      </c>
      <c r="F20">
        <f t="shared" si="3"/>
        <v>19</v>
      </c>
      <c r="G20" t="s">
        <v>112</v>
      </c>
    </row>
    <row r="21" spans="1:13" x14ac:dyDescent="0.25">
      <c r="A21" t="s">
        <v>9</v>
      </c>
      <c r="B21" t="s">
        <v>10</v>
      </c>
      <c r="C21" t="s">
        <v>82</v>
      </c>
      <c r="D21">
        <v>13</v>
      </c>
      <c r="E21">
        <v>0</v>
      </c>
      <c r="F21">
        <f t="shared" si="3"/>
        <v>13</v>
      </c>
      <c r="G21" t="s">
        <v>112</v>
      </c>
    </row>
    <row r="22" spans="1:13" x14ac:dyDescent="0.25">
      <c r="A22" t="s">
        <v>63</v>
      </c>
      <c r="B22" t="s">
        <v>64</v>
      </c>
      <c r="C22" t="s">
        <v>82</v>
      </c>
      <c r="D22">
        <v>17</v>
      </c>
      <c r="E22">
        <v>4</v>
      </c>
      <c r="F22">
        <f t="shared" si="3"/>
        <v>21</v>
      </c>
      <c r="G22" t="s">
        <v>112</v>
      </c>
    </row>
    <row r="23" spans="1:13" x14ac:dyDescent="0.25">
      <c r="A23" t="s">
        <v>57</v>
      </c>
      <c r="B23" t="s">
        <v>58</v>
      </c>
      <c r="C23" t="s">
        <v>82</v>
      </c>
      <c r="D23">
        <v>8</v>
      </c>
      <c r="E23">
        <v>1</v>
      </c>
      <c r="F23">
        <f t="shared" si="3"/>
        <v>9</v>
      </c>
      <c r="G23" t="s">
        <v>121</v>
      </c>
    </row>
    <row r="24" spans="1:13" x14ac:dyDescent="0.25">
      <c r="A24" t="s">
        <v>18</v>
      </c>
      <c r="B24" t="s">
        <v>19</v>
      </c>
      <c r="C24" t="s">
        <v>82</v>
      </c>
    </row>
    <row r="25" spans="1:13" x14ac:dyDescent="0.25">
      <c r="A25" t="s">
        <v>12</v>
      </c>
      <c r="B25" t="s">
        <v>13</v>
      </c>
      <c r="C25" t="s">
        <v>83</v>
      </c>
      <c r="D25">
        <v>17</v>
      </c>
      <c r="E25">
        <v>4</v>
      </c>
      <c r="F25">
        <f>D25+E25</f>
        <v>21</v>
      </c>
      <c r="G25" t="s">
        <v>112</v>
      </c>
      <c r="H25">
        <v>0</v>
      </c>
      <c r="I25">
        <v>1</v>
      </c>
      <c r="J25">
        <f t="shared" si="0"/>
        <v>17</v>
      </c>
      <c r="K25">
        <f t="shared" si="1"/>
        <v>5</v>
      </c>
      <c r="L25">
        <f t="shared" si="2"/>
        <v>22</v>
      </c>
      <c r="M25" t="s">
        <v>120</v>
      </c>
    </row>
    <row r="26" spans="1:13" x14ac:dyDescent="0.25">
      <c r="A26" t="s">
        <v>97</v>
      </c>
      <c r="B26" t="s">
        <v>98</v>
      </c>
      <c r="C26" t="s">
        <v>83</v>
      </c>
      <c r="D26">
        <v>14</v>
      </c>
      <c r="E26">
        <v>4</v>
      </c>
      <c r="F26">
        <f>D26+E26</f>
        <v>18</v>
      </c>
      <c r="G26" t="s">
        <v>112</v>
      </c>
      <c r="H26">
        <v>3</v>
      </c>
      <c r="I26">
        <v>1</v>
      </c>
      <c r="J26">
        <f t="shared" si="0"/>
        <v>17</v>
      </c>
      <c r="K26">
        <f t="shared" si="1"/>
        <v>5</v>
      </c>
      <c r="L26">
        <f t="shared" si="2"/>
        <v>22</v>
      </c>
      <c r="M26" t="s">
        <v>120</v>
      </c>
    </row>
    <row r="27" spans="1:13" x14ac:dyDescent="0.25">
      <c r="A27" t="s">
        <v>39</v>
      </c>
      <c r="B27" t="s">
        <v>40</v>
      </c>
      <c r="C27" t="s">
        <v>83</v>
      </c>
      <c r="D27">
        <v>9</v>
      </c>
      <c r="E27">
        <v>5</v>
      </c>
      <c r="F27">
        <f>D27+E27</f>
        <v>14</v>
      </c>
      <c r="G27" t="s">
        <v>82</v>
      </c>
      <c r="H27">
        <v>7</v>
      </c>
      <c r="I27">
        <v>0</v>
      </c>
      <c r="J27">
        <f t="shared" si="0"/>
        <v>16</v>
      </c>
      <c r="K27">
        <f t="shared" si="1"/>
        <v>5</v>
      </c>
      <c r="L27">
        <f t="shared" si="2"/>
        <v>21</v>
      </c>
      <c r="M27" t="s">
        <v>112</v>
      </c>
    </row>
    <row r="28" spans="1:13" x14ac:dyDescent="0.25">
      <c r="A28" t="s">
        <v>15</v>
      </c>
      <c r="B28" t="s">
        <v>16</v>
      </c>
      <c r="C28" t="s">
        <v>83</v>
      </c>
      <c r="D28">
        <v>7</v>
      </c>
      <c r="E28">
        <v>0</v>
      </c>
      <c r="F28">
        <f>D28+E28</f>
        <v>7</v>
      </c>
      <c r="G28" t="s">
        <v>121</v>
      </c>
    </row>
  </sheetData>
  <autoFilter ref="A1:M28" xr:uid="{72AD1293-FC08-4F3A-B10E-0388D428E4A6}">
    <sortState xmlns:xlrd2="http://schemas.microsoft.com/office/spreadsheetml/2017/richdata2" ref="A2:M28">
      <sortCondition ref="A1:A2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9E35-89DC-450F-91C0-9FC94A230E1D}">
  <dimension ref="A1:G28"/>
  <sheetViews>
    <sheetView workbookViewId="0">
      <selection activeCell="J10" sqref="J10"/>
    </sheetView>
  </sheetViews>
  <sheetFormatPr defaultRowHeight="15.75" x14ac:dyDescent="0.25"/>
  <sheetData>
    <row r="1" spans="1:7" x14ac:dyDescent="0.25">
      <c r="A1" t="s">
        <v>81</v>
      </c>
      <c r="B1" t="s">
        <v>80</v>
      </c>
      <c r="C1" t="s">
        <v>78</v>
      </c>
      <c r="D1" t="s">
        <v>107</v>
      </c>
      <c r="E1" t="s">
        <v>108</v>
      </c>
      <c r="F1" t="s">
        <v>109</v>
      </c>
      <c r="G1" t="s">
        <v>110</v>
      </c>
    </row>
    <row r="2" spans="1:7" x14ac:dyDescent="0.25">
      <c r="A2" t="s">
        <v>3</v>
      </c>
      <c r="B2" t="s">
        <v>4</v>
      </c>
      <c r="C2" t="s">
        <v>83</v>
      </c>
      <c r="D2">
        <v>11</v>
      </c>
      <c r="E2">
        <v>5</v>
      </c>
      <c r="F2">
        <f t="shared" ref="F2:F7" si="0">D2+E2</f>
        <v>16</v>
      </c>
      <c r="G2" t="s">
        <v>112</v>
      </c>
    </row>
    <row r="3" spans="1:7" x14ac:dyDescent="0.25">
      <c r="A3" t="s">
        <v>30</v>
      </c>
      <c r="B3" t="s">
        <v>31</v>
      </c>
      <c r="C3" t="s">
        <v>83</v>
      </c>
      <c r="D3">
        <v>15</v>
      </c>
      <c r="E3">
        <v>5</v>
      </c>
      <c r="F3">
        <f t="shared" si="0"/>
        <v>20</v>
      </c>
      <c r="G3" t="s">
        <v>120</v>
      </c>
    </row>
    <row r="4" spans="1:7" x14ac:dyDescent="0.25">
      <c r="A4" t="s">
        <v>0</v>
      </c>
      <c r="B4" t="s">
        <v>1</v>
      </c>
      <c r="C4" t="s">
        <v>82</v>
      </c>
      <c r="D4">
        <v>13</v>
      </c>
      <c r="E4">
        <v>5</v>
      </c>
      <c r="F4">
        <f t="shared" si="0"/>
        <v>18</v>
      </c>
      <c r="G4" t="s">
        <v>112</v>
      </c>
    </row>
    <row r="5" spans="1:7" x14ac:dyDescent="0.25">
      <c r="A5" t="s">
        <v>27</v>
      </c>
      <c r="B5" t="s">
        <v>28</v>
      </c>
      <c r="C5" t="s">
        <v>82</v>
      </c>
      <c r="D5">
        <v>4</v>
      </c>
      <c r="E5">
        <v>5</v>
      </c>
      <c r="F5">
        <f t="shared" si="0"/>
        <v>9</v>
      </c>
      <c r="G5" t="s">
        <v>121</v>
      </c>
    </row>
    <row r="6" spans="1:7" x14ac:dyDescent="0.25">
      <c r="A6" t="s">
        <v>24</v>
      </c>
      <c r="B6" t="s">
        <v>25</v>
      </c>
      <c r="C6" t="s">
        <v>83</v>
      </c>
      <c r="D6">
        <v>7</v>
      </c>
      <c r="E6">
        <v>0</v>
      </c>
      <c r="F6">
        <f t="shared" si="0"/>
        <v>7</v>
      </c>
      <c r="G6" t="s">
        <v>121</v>
      </c>
    </row>
    <row r="7" spans="1:7" x14ac:dyDescent="0.25">
      <c r="A7" t="s">
        <v>33</v>
      </c>
      <c r="B7" t="s">
        <v>34</v>
      </c>
      <c r="C7" t="s">
        <v>83</v>
      </c>
      <c r="D7">
        <v>14</v>
      </c>
      <c r="E7">
        <v>5</v>
      </c>
      <c r="F7">
        <f t="shared" si="0"/>
        <v>19</v>
      </c>
      <c r="G7" t="s">
        <v>112</v>
      </c>
    </row>
    <row r="8" spans="1:7" x14ac:dyDescent="0.25">
      <c r="A8" t="s">
        <v>21</v>
      </c>
      <c r="B8" t="s">
        <v>22</v>
      </c>
      <c r="C8" t="s">
        <v>83</v>
      </c>
    </row>
    <row r="9" spans="1:7" x14ac:dyDescent="0.25">
      <c r="A9" t="s">
        <v>60</v>
      </c>
      <c r="B9" t="s">
        <v>61</v>
      </c>
      <c r="C9" t="s">
        <v>82</v>
      </c>
    </row>
    <row r="10" spans="1:7" x14ac:dyDescent="0.25">
      <c r="A10" t="s">
        <v>72</v>
      </c>
      <c r="B10" t="s">
        <v>73</v>
      </c>
      <c r="C10" t="s">
        <v>83</v>
      </c>
      <c r="D10">
        <v>12</v>
      </c>
      <c r="E10">
        <v>5</v>
      </c>
      <c r="F10">
        <f>D10+E10</f>
        <v>17</v>
      </c>
      <c r="G10" t="s">
        <v>112</v>
      </c>
    </row>
    <row r="11" spans="1:7" x14ac:dyDescent="0.25">
      <c r="A11" t="s">
        <v>6</v>
      </c>
      <c r="B11" t="s">
        <v>7</v>
      </c>
      <c r="C11" t="s">
        <v>83</v>
      </c>
    </row>
    <row r="12" spans="1:7" x14ac:dyDescent="0.25">
      <c r="A12" t="s">
        <v>66</v>
      </c>
      <c r="B12" t="s">
        <v>67</v>
      </c>
      <c r="C12" t="s">
        <v>83</v>
      </c>
      <c r="D12">
        <v>15</v>
      </c>
      <c r="E12">
        <v>5</v>
      </c>
      <c r="F12">
        <f t="shared" ref="F12:F23" si="1">D12+E12</f>
        <v>20</v>
      </c>
      <c r="G12" t="s">
        <v>120</v>
      </c>
    </row>
    <row r="13" spans="1:7" x14ac:dyDescent="0.25">
      <c r="A13" t="s">
        <v>69</v>
      </c>
      <c r="B13" t="s">
        <v>70</v>
      </c>
      <c r="C13" t="s">
        <v>83</v>
      </c>
      <c r="D13">
        <v>15</v>
      </c>
      <c r="E13">
        <v>5</v>
      </c>
      <c r="F13">
        <f t="shared" si="1"/>
        <v>20</v>
      </c>
      <c r="G13" t="s">
        <v>120</v>
      </c>
    </row>
    <row r="14" spans="1:7" x14ac:dyDescent="0.25">
      <c r="A14" t="s">
        <v>36</v>
      </c>
      <c r="B14" t="s">
        <v>37</v>
      </c>
      <c r="C14" t="s">
        <v>83</v>
      </c>
      <c r="D14">
        <v>9</v>
      </c>
      <c r="E14">
        <v>3</v>
      </c>
      <c r="F14">
        <f t="shared" si="1"/>
        <v>12</v>
      </c>
      <c r="G14" t="s">
        <v>82</v>
      </c>
    </row>
    <row r="15" spans="1:7" x14ac:dyDescent="0.25">
      <c r="A15" t="s">
        <v>48</v>
      </c>
      <c r="B15" t="s">
        <v>49</v>
      </c>
      <c r="C15" t="s">
        <v>82</v>
      </c>
      <c r="D15">
        <v>14</v>
      </c>
      <c r="E15">
        <v>5</v>
      </c>
      <c r="F15">
        <f t="shared" si="1"/>
        <v>19</v>
      </c>
      <c r="G15" t="s">
        <v>112</v>
      </c>
    </row>
    <row r="16" spans="1:7" x14ac:dyDescent="0.25">
      <c r="A16" t="s">
        <v>42</v>
      </c>
      <c r="B16" t="s">
        <v>43</v>
      </c>
      <c r="C16" t="s">
        <v>82</v>
      </c>
      <c r="D16">
        <v>12</v>
      </c>
      <c r="E16">
        <v>5</v>
      </c>
      <c r="F16">
        <f t="shared" si="1"/>
        <v>17</v>
      </c>
      <c r="G16" t="s">
        <v>112</v>
      </c>
    </row>
    <row r="17" spans="1:7" x14ac:dyDescent="0.25">
      <c r="A17" t="s">
        <v>75</v>
      </c>
      <c r="B17" t="s">
        <v>76</v>
      </c>
      <c r="C17" t="s">
        <v>82</v>
      </c>
      <c r="D17">
        <v>8</v>
      </c>
      <c r="E17">
        <v>5</v>
      </c>
      <c r="F17">
        <f t="shared" si="1"/>
        <v>13</v>
      </c>
      <c r="G17" t="s">
        <v>82</v>
      </c>
    </row>
    <row r="18" spans="1:7" x14ac:dyDescent="0.25">
      <c r="A18" t="s">
        <v>54</v>
      </c>
      <c r="B18" t="s">
        <v>55</v>
      </c>
      <c r="C18" t="s">
        <v>83</v>
      </c>
      <c r="D18">
        <v>5</v>
      </c>
      <c r="E18">
        <v>0</v>
      </c>
      <c r="F18">
        <f t="shared" si="1"/>
        <v>5</v>
      </c>
      <c r="G18" t="s">
        <v>121</v>
      </c>
    </row>
    <row r="19" spans="1:7" x14ac:dyDescent="0.25">
      <c r="A19" t="s">
        <v>51</v>
      </c>
      <c r="B19" t="s">
        <v>52</v>
      </c>
      <c r="C19" t="s">
        <v>82</v>
      </c>
      <c r="D19">
        <v>12</v>
      </c>
      <c r="E19">
        <v>0</v>
      </c>
      <c r="F19">
        <f t="shared" si="1"/>
        <v>12</v>
      </c>
      <c r="G19" t="s">
        <v>112</v>
      </c>
    </row>
    <row r="20" spans="1:7" x14ac:dyDescent="0.25">
      <c r="A20" t="s">
        <v>45</v>
      </c>
      <c r="B20" t="s">
        <v>46</v>
      </c>
      <c r="C20" t="s">
        <v>83</v>
      </c>
      <c r="D20">
        <v>7</v>
      </c>
      <c r="E20">
        <v>4</v>
      </c>
      <c r="F20">
        <f t="shared" si="1"/>
        <v>11</v>
      </c>
      <c r="G20" t="s">
        <v>82</v>
      </c>
    </row>
    <row r="21" spans="1:7" x14ac:dyDescent="0.25">
      <c r="A21" t="s">
        <v>9</v>
      </c>
      <c r="B21" t="s">
        <v>10</v>
      </c>
      <c r="C21" t="s">
        <v>82</v>
      </c>
      <c r="D21">
        <v>15</v>
      </c>
      <c r="E21">
        <v>5</v>
      </c>
      <c r="F21">
        <f t="shared" si="1"/>
        <v>20</v>
      </c>
      <c r="G21" t="s">
        <v>120</v>
      </c>
    </row>
    <row r="22" spans="1:7" x14ac:dyDescent="0.25">
      <c r="A22" t="s">
        <v>63</v>
      </c>
      <c r="B22" t="s">
        <v>64</v>
      </c>
      <c r="C22" t="s">
        <v>82</v>
      </c>
      <c r="D22">
        <v>8</v>
      </c>
      <c r="E22">
        <v>5</v>
      </c>
      <c r="F22">
        <f t="shared" si="1"/>
        <v>13</v>
      </c>
      <c r="G22" t="s">
        <v>82</v>
      </c>
    </row>
    <row r="23" spans="1:7" x14ac:dyDescent="0.25">
      <c r="A23" t="s">
        <v>57</v>
      </c>
      <c r="B23" t="s">
        <v>58</v>
      </c>
      <c r="C23" t="s">
        <v>82</v>
      </c>
      <c r="D23">
        <v>12</v>
      </c>
      <c r="E23">
        <v>5</v>
      </c>
      <c r="F23">
        <f t="shared" si="1"/>
        <v>17</v>
      </c>
      <c r="G23" t="s">
        <v>112</v>
      </c>
    </row>
    <row r="24" spans="1:7" x14ac:dyDescent="0.25">
      <c r="A24" t="s">
        <v>18</v>
      </c>
      <c r="B24" t="s">
        <v>19</v>
      </c>
      <c r="C24" t="s">
        <v>82</v>
      </c>
    </row>
    <row r="25" spans="1:7" x14ac:dyDescent="0.25">
      <c r="A25" t="s">
        <v>12</v>
      </c>
      <c r="B25" t="s">
        <v>13</v>
      </c>
      <c r="C25" t="s">
        <v>83</v>
      </c>
      <c r="D25">
        <v>15</v>
      </c>
      <c r="E25">
        <v>5</v>
      </c>
      <c r="F25">
        <f>D25+E25</f>
        <v>20</v>
      </c>
      <c r="G25" t="s">
        <v>120</v>
      </c>
    </row>
    <row r="26" spans="1:7" x14ac:dyDescent="0.25">
      <c r="A26" t="s">
        <v>97</v>
      </c>
      <c r="B26" t="s">
        <v>98</v>
      </c>
      <c r="C26" t="s">
        <v>83</v>
      </c>
      <c r="D26">
        <v>15</v>
      </c>
      <c r="E26">
        <v>5</v>
      </c>
      <c r="F26">
        <f>D26+E26</f>
        <v>20</v>
      </c>
      <c r="G26" t="s">
        <v>120</v>
      </c>
    </row>
    <row r="27" spans="1:7" x14ac:dyDescent="0.25">
      <c r="A27" t="s">
        <v>39</v>
      </c>
      <c r="B27" t="s">
        <v>40</v>
      </c>
      <c r="C27" t="s">
        <v>83</v>
      </c>
      <c r="D27">
        <v>15</v>
      </c>
      <c r="E27">
        <v>3</v>
      </c>
      <c r="F27">
        <f>D27+E27</f>
        <v>18</v>
      </c>
      <c r="G27" t="s">
        <v>112</v>
      </c>
    </row>
    <row r="28" spans="1:7" x14ac:dyDescent="0.25">
      <c r="A28" t="s">
        <v>15</v>
      </c>
      <c r="B28" t="s">
        <v>16</v>
      </c>
      <c r="C28" t="s">
        <v>83</v>
      </c>
      <c r="D28">
        <v>2</v>
      </c>
      <c r="E28">
        <v>0</v>
      </c>
      <c r="F28">
        <f>D28+E28</f>
        <v>2</v>
      </c>
      <c r="G28" t="s">
        <v>122</v>
      </c>
    </row>
  </sheetData>
  <autoFilter ref="A1:G28" xr:uid="{01F29E35-89DC-450F-91C0-9FC94A230E1D}">
    <sortState xmlns:xlrd2="http://schemas.microsoft.com/office/spreadsheetml/2017/richdata2" ref="A2:G28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</vt:lpstr>
      <vt:lpstr>grades</vt:lpstr>
      <vt:lpstr>hw1</vt:lpstr>
      <vt:lpstr>hw2</vt:lpstr>
      <vt:lpstr>hw3</vt:lpstr>
      <vt:lpstr>hw4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Quijano, Alex John</cp:lastModifiedBy>
  <dcterms:modified xsi:type="dcterms:W3CDTF">2026-05-01T20:28:59Z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2026-01-13T15:59:37-08:00</dcterms:created>
  <dcterms:modified xsi:type="dcterms:W3CDTF">2026-01-13T15:59:37-08:00</dcterms:modified>
  <cp:revision>0</cp:revision>
</cp:coreProperties>
</file>